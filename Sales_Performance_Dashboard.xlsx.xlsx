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hidePivotFieldList="1"/>
  <xr:revisionPtr revIDLastSave="0" documentId="8_{FB16914D-C75B-4ACB-8F65-74A3A70C5D5E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roduct_Pivot" sheetId="5" r:id="rId1"/>
    <sheet name="Region_Pivot" sheetId="6" r:id="rId2"/>
    <sheet name="Sales_Trend" sheetId="7" r:id="rId3"/>
    <sheet name="Charts" sheetId="8" r:id="rId4"/>
    <sheet name="Dashboard" sheetId="9" r:id="rId5"/>
    <sheet name="RAw_Data" sheetId="1" r:id="rId6"/>
  </sheets>
  <calcPr calcId="191028"/>
  <pivotCaches>
    <pivotCache cacheId="3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2" i="1"/>
  <c r="H2" i="1" s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8" i="1"/>
  <c r="B9" i="1"/>
  <c r="B10" i="1"/>
  <c r="B7" i="1"/>
</calcChain>
</file>

<file path=xl/sharedStrings.xml><?xml version="1.0" encoding="utf-8"?>
<sst xmlns="http://schemas.openxmlformats.org/spreadsheetml/2006/main" count="1242" uniqueCount="40">
  <si>
    <t>Sales by Product</t>
  </si>
  <si>
    <t>Product</t>
  </si>
  <si>
    <t>Sum of Total_Sales</t>
  </si>
  <si>
    <t>Chair</t>
  </si>
  <si>
    <t>Headset</t>
  </si>
  <si>
    <t>Laptop</t>
  </si>
  <si>
    <t>Mobile</t>
  </si>
  <si>
    <t>Table</t>
  </si>
  <si>
    <t>Grand Total</t>
  </si>
  <si>
    <t>Sales by Region</t>
  </si>
  <si>
    <t>Region</t>
  </si>
  <si>
    <t>East</t>
  </si>
  <si>
    <t>North</t>
  </si>
  <si>
    <t>South</t>
  </si>
  <si>
    <t>West</t>
  </si>
  <si>
    <t>Monthly Sales Trend</t>
  </si>
  <si>
    <t>Date</t>
  </si>
  <si>
    <t>X</t>
  </si>
  <si>
    <t>Sales Performance Dashboard</t>
  </si>
  <si>
    <t>Total Sales</t>
  </si>
  <si>
    <t>Top Product</t>
  </si>
  <si>
    <t>Best Region</t>
  </si>
  <si>
    <t>Data</t>
  </si>
  <si>
    <t>Order_ID</t>
  </si>
  <si>
    <t>Category</t>
  </si>
  <si>
    <t>Quantity</t>
  </si>
  <si>
    <t>Unit_Price</t>
  </si>
  <si>
    <t>Total_Sales</t>
  </si>
  <si>
    <t>Payment_Mode</t>
  </si>
  <si>
    <t>ORD001</t>
  </si>
  <si>
    <t>Electronics</t>
  </si>
  <si>
    <t>UPI</t>
  </si>
  <si>
    <t>ORD002</t>
  </si>
  <si>
    <t>Card</t>
  </si>
  <si>
    <t>ORD003</t>
  </si>
  <si>
    <t>Furniture</t>
  </si>
  <si>
    <t>Cash</t>
  </si>
  <si>
    <t>ORD004</t>
  </si>
  <si>
    <t>ORD005</t>
  </si>
  <si>
    <t>Acessories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</si>
</sst>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1" fillId="0" borderId="1" xfId="0" applyNumberFormat="1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6">
    <dxf>
      <alignment horizontal="center"/>
    </dxf>
    <dxf>
      <numFmt numFmtId="164" formatCode="&quot;₹&quot;\ #,##0.00"/>
    </dxf>
    <dxf>
      <numFmt numFmtId="164" formatCode="&quot;₹&quot;\ #,##0.00"/>
      <alignment horizontal="general" vertical="bottom" textRotation="0" wrapText="1" indent="0" justifyLastLine="0" shrinkToFit="0" readingOrder="0"/>
    </dxf>
    <dxf>
      <numFmt numFmtId="2" formatCode="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[Sales_Performance_Dashboard.xlsx.xlsx]Product_Pivot!PivotTable1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Product_Pivot!$A$4:$A$9</c:f>
              <c:strCache>
                <c:ptCount val="5"/>
                <c:pt idx="0">
                  <c:v>Chair</c:v>
                </c:pt>
                <c:pt idx="1">
                  <c:v>Headset</c:v>
                </c:pt>
                <c:pt idx="2">
                  <c:v>Laptop</c:v>
                </c:pt>
                <c:pt idx="3">
                  <c:v>Mobile</c:v>
                </c:pt>
                <c:pt idx="4">
                  <c:v>Table</c:v>
                </c:pt>
              </c:strCache>
            </c:strRef>
          </c:cat>
          <c:val>
            <c:numRef>
              <c:f>Product_Pivot!$B$4:$B$9</c:f>
              <c:numCache>
                <c:formatCode>"₹"\ #,##0.00</c:formatCode>
                <c:ptCount val="5"/>
                <c:pt idx="0">
                  <c:v>2297453</c:v>
                </c:pt>
                <c:pt idx="1">
                  <c:v>473887</c:v>
                </c:pt>
                <c:pt idx="2">
                  <c:v>14427393</c:v>
                </c:pt>
                <c:pt idx="3">
                  <c:v>6900545</c:v>
                </c:pt>
                <c:pt idx="4">
                  <c:v>2072245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D-4DFB-AF57-271CBA6E6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12199"/>
        <c:axId val="249730567"/>
      </c:barChart>
      <c:catAx>
        <c:axId val="20871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30567"/>
        <c:crosses val="autoZero"/>
        <c:auto val="1"/>
        <c:lblAlgn val="ctr"/>
        <c:lblOffset val="100"/>
        <c:noMultiLvlLbl val="0"/>
      </c:catAx>
      <c:valAx>
        <c:axId val="24973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E9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[Sales_Performance_Dashboard.xlsx.xlsx]Region_Pivot!PivotTable1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FE-4B3E-92AD-A7DCCD19FE37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FE-4B3E-92AD-A7DCCD19FE37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FE-4B3E-92AD-A7DCCD19FE37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CFE-4B3E-92AD-A7DCCD19FE37}"/>
              </c:ext>
            </c:extLst>
          </c:dPt>
          <c:cat>
            <c:strRef>
              <c:f>Region_Pivot!$A$4:$A$8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Region_Pivot!$B$4:$B$8</c:f>
              <c:numCache>
                <c:formatCode>"₹"\ #,##0.00</c:formatCode>
                <c:ptCount val="4"/>
                <c:pt idx="0">
                  <c:v>2249066</c:v>
                </c:pt>
                <c:pt idx="1">
                  <c:v>11983822</c:v>
                </c:pt>
                <c:pt idx="2">
                  <c:v>9818003</c:v>
                </c:pt>
                <c:pt idx="3">
                  <c:v>2120632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6D-41BC-976B-E9D461CCC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[Sales_Performance_Dashboard.xlsx.xlsx]Sales_Trend!PivotTable2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5201805846302175"/>
          <c:y val="2.6771685582759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Sales_Trend!$A$4:$A$304</c:f>
              <c:strCache>
                <c:ptCount val="300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  <c:pt idx="10">
                  <c:v>11-01-2024</c:v>
                </c:pt>
                <c:pt idx="11">
                  <c:v>12-01-2024</c:v>
                </c:pt>
                <c:pt idx="12">
                  <c:v>13-01-2024</c:v>
                </c:pt>
                <c:pt idx="13">
                  <c:v>14-01-2024</c:v>
                </c:pt>
                <c:pt idx="14">
                  <c:v>15-01-2024</c:v>
                </c:pt>
                <c:pt idx="15">
                  <c:v>16-01-2024</c:v>
                </c:pt>
                <c:pt idx="16">
                  <c:v>17-01-2024</c:v>
                </c:pt>
                <c:pt idx="17">
                  <c:v>18-01-2024</c:v>
                </c:pt>
                <c:pt idx="18">
                  <c:v>19-01-2024</c:v>
                </c:pt>
                <c:pt idx="19">
                  <c:v>20-01-2024</c:v>
                </c:pt>
                <c:pt idx="20">
                  <c:v>21-01-2024</c:v>
                </c:pt>
                <c:pt idx="21">
                  <c:v>22-01-2024</c:v>
                </c:pt>
                <c:pt idx="22">
                  <c:v>23-01-2024</c:v>
                </c:pt>
                <c:pt idx="23">
                  <c:v>24-01-2024</c:v>
                </c:pt>
                <c:pt idx="24">
                  <c:v>25-01-2024</c:v>
                </c:pt>
                <c:pt idx="25">
                  <c:v>26-01-2024</c:v>
                </c:pt>
                <c:pt idx="26">
                  <c:v>27-01-2024</c:v>
                </c:pt>
                <c:pt idx="27">
                  <c:v>28-01-2024</c:v>
                </c:pt>
                <c:pt idx="28">
                  <c:v>29-01-2024</c:v>
                </c:pt>
                <c:pt idx="29">
                  <c:v>30-01-2024</c:v>
                </c:pt>
                <c:pt idx="30">
                  <c:v>31-01-2024</c:v>
                </c:pt>
                <c:pt idx="31">
                  <c:v>01-02-2024</c:v>
                </c:pt>
                <c:pt idx="32">
                  <c:v>02-02-2024</c:v>
                </c:pt>
                <c:pt idx="33">
                  <c:v>03-02-2024</c:v>
                </c:pt>
                <c:pt idx="34">
                  <c:v>04-02-2024</c:v>
                </c:pt>
                <c:pt idx="35">
                  <c:v>05-02-2024</c:v>
                </c:pt>
                <c:pt idx="36">
                  <c:v>06-02-2024</c:v>
                </c:pt>
                <c:pt idx="37">
                  <c:v>07-02-2024</c:v>
                </c:pt>
                <c:pt idx="38">
                  <c:v>08-02-2024</c:v>
                </c:pt>
                <c:pt idx="39">
                  <c:v>09-02-2024</c:v>
                </c:pt>
                <c:pt idx="40">
                  <c:v>10-02-2024</c:v>
                </c:pt>
                <c:pt idx="41">
                  <c:v>11-02-2024</c:v>
                </c:pt>
                <c:pt idx="42">
                  <c:v>12-02-2024</c:v>
                </c:pt>
                <c:pt idx="43">
                  <c:v>13-02-2024</c:v>
                </c:pt>
                <c:pt idx="44">
                  <c:v>14-02-2024</c:v>
                </c:pt>
                <c:pt idx="45">
                  <c:v>15-02-2024</c:v>
                </c:pt>
                <c:pt idx="46">
                  <c:v>16-02-2024</c:v>
                </c:pt>
                <c:pt idx="47">
                  <c:v>17-02-2024</c:v>
                </c:pt>
                <c:pt idx="48">
                  <c:v>18-02-2024</c:v>
                </c:pt>
                <c:pt idx="49">
                  <c:v>19-02-2024</c:v>
                </c:pt>
                <c:pt idx="50">
                  <c:v>20-02-2024</c:v>
                </c:pt>
                <c:pt idx="51">
                  <c:v>21-02-2024</c:v>
                </c:pt>
                <c:pt idx="52">
                  <c:v>22-02-2024</c:v>
                </c:pt>
                <c:pt idx="53">
                  <c:v>23-02-2024</c:v>
                </c:pt>
                <c:pt idx="54">
                  <c:v>24-02-2024</c:v>
                </c:pt>
                <c:pt idx="55">
                  <c:v>25-02-2024</c:v>
                </c:pt>
                <c:pt idx="56">
                  <c:v>26-02-2024</c:v>
                </c:pt>
                <c:pt idx="57">
                  <c:v>27-02-2024</c:v>
                </c:pt>
                <c:pt idx="58">
                  <c:v>28-02-2024</c:v>
                </c:pt>
                <c:pt idx="59">
                  <c:v>29-02-2024</c:v>
                </c:pt>
                <c:pt idx="60">
                  <c:v>01-03-2024</c:v>
                </c:pt>
                <c:pt idx="61">
                  <c:v>02-03-2024</c:v>
                </c:pt>
                <c:pt idx="62">
                  <c:v>03-03-2024</c:v>
                </c:pt>
                <c:pt idx="63">
                  <c:v>04-03-2024</c:v>
                </c:pt>
                <c:pt idx="64">
                  <c:v>05-03-2024</c:v>
                </c:pt>
                <c:pt idx="65">
                  <c:v>06-03-2024</c:v>
                </c:pt>
                <c:pt idx="66">
                  <c:v>07-03-2024</c:v>
                </c:pt>
                <c:pt idx="67">
                  <c:v>08-03-2024</c:v>
                </c:pt>
                <c:pt idx="68">
                  <c:v>09-03-2024</c:v>
                </c:pt>
                <c:pt idx="69">
                  <c:v>10-03-2024</c:v>
                </c:pt>
                <c:pt idx="70">
                  <c:v>11-03-2024</c:v>
                </c:pt>
                <c:pt idx="71">
                  <c:v>12-03-2024</c:v>
                </c:pt>
                <c:pt idx="72">
                  <c:v>13-03-2024</c:v>
                </c:pt>
                <c:pt idx="73">
                  <c:v>14-03-2024</c:v>
                </c:pt>
                <c:pt idx="74">
                  <c:v>15-03-2024</c:v>
                </c:pt>
                <c:pt idx="75">
                  <c:v>16-03-2024</c:v>
                </c:pt>
                <c:pt idx="76">
                  <c:v>17-03-2024</c:v>
                </c:pt>
                <c:pt idx="77">
                  <c:v>18-03-2024</c:v>
                </c:pt>
                <c:pt idx="78">
                  <c:v>19-03-2024</c:v>
                </c:pt>
                <c:pt idx="79">
                  <c:v>20-03-2024</c:v>
                </c:pt>
                <c:pt idx="80">
                  <c:v>21-03-2024</c:v>
                </c:pt>
                <c:pt idx="81">
                  <c:v>22-03-2024</c:v>
                </c:pt>
                <c:pt idx="82">
                  <c:v>23-03-2024</c:v>
                </c:pt>
                <c:pt idx="83">
                  <c:v>24-03-2024</c:v>
                </c:pt>
                <c:pt idx="84">
                  <c:v>25-03-2024</c:v>
                </c:pt>
                <c:pt idx="85">
                  <c:v>26-03-2024</c:v>
                </c:pt>
                <c:pt idx="86">
                  <c:v>27-03-2024</c:v>
                </c:pt>
                <c:pt idx="87">
                  <c:v>28-03-2024</c:v>
                </c:pt>
                <c:pt idx="88">
                  <c:v>29-03-2024</c:v>
                </c:pt>
                <c:pt idx="89">
                  <c:v>30-03-2024</c:v>
                </c:pt>
                <c:pt idx="90">
                  <c:v>31-03-2024</c:v>
                </c:pt>
                <c:pt idx="91">
                  <c:v>01-04-2024</c:v>
                </c:pt>
                <c:pt idx="92">
                  <c:v>02-04-2024</c:v>
                </c:pt>
                <c:pt idx="93">
                  <c:v>03-04-2024</c:v>
                </c:pt>
                <c:pt idx="94">
                  <c:v>04-04-2024</c:v>
                </c:pt>
                <c:pt idx="95">
                  <c:v>05-04-2024</c:v>
                </c:pt>
                <c:pt idx="96">
                  <c:v>06-04-2024</c:v>
                </c:pt>
                <c:pt idx="97">
                  <c:v>07-04-2024</c:v>
                </c:pt>
                <c:pt idx="98">
                  <c:v>08-04-2024</c:v>
                </c:pt>
                <c:pt idx="99">
                  <c:v>09-04-2024</c:v>
                </c:pt>
                <c:pt idx="100">
                  <c:v>10-04-2024</c:v>
                </c:pt>
                <c:pt idx="101">
                  <c:v>11-04-2024</c:v>
                </c:pt>
                <c:pt idx="102">
                  <c:v>12-04-2024</c:v>
                </c:pt>
                <c:pt idx="103">
                  <c:v>13-04-2024</c:v>
                </c:pt>
                <c:pt idx="104">
                  <c:v>14-04-2024</c:v>
                </c:pt>
                <c:pt idx="105">
                  <c:v>15-04-2024</c:v>
                </c:pt>
                <c:pt idx="106">
                  <c:v>16-04-2024</c:v>
                </c:pt>
                <c:pt idx="107">
                  <c:v>17-04-2024</c:v>
                </c:pt>
                <c:pt idx="108">
                  <c:v>18-04-2024</c:v>
                </c:pt>
                <c:pt idx="109">
                  <c:v>19-04-2024</c:v>
                </c:pt>
                <c:pt idx="110">
                  <c:v>20-04-2024</c:v>
                </c:pt>
                <c:pt idx="111">
                  <c:v>21-04-2024</c:v>
                </c:pt>
                <c:pt idx="112">
                  <c:v>22-04-2024</c:v>
                </c:pt>
                <c:pt idx="113">
                  <c:v>23-04-2024</c:v>
                </c:pt>
                <c:pt idx="114">
                  <c:v>24-04-2024</c:v>
                </c:pt>
                <c:pt idx="115">
                  <c:v>25-04-2024</c:v>
                </c:pt>
                <c:pt idx="116">
                  <c:v>26-04-2024</c:v>
                </c:pt>
                <c:pt idx="117">
                  <c:v>27-04-2024</c:v>
                </c:pt>
                <c:pt idx="118">
                  <c:v>28-04-2024</c:v>
                </c:pt>
                <c:pt idx="119">
                  <c:v>29-04-2024</c:v>
                </c:pt>
                <c:pt idx="120">
                  <c:v>30-04-2024</c:v>
                </c:pt>
                <c:pt idx="121">
                  <c:v>01-05-2024</c:v>
                </c:pt>
                <c:pt idx="122">
                  <c:v>02-05-2024</c:v>
                </c:pt>
                <c:pt idx="123">
                  <c:v>03-05-2024</c:v>
                </c:pt>
                <c:pt idx="124">
                  <c:v>04-05-2024</c:v>
                </c:pt>
                <c:pt idx="125">
                  <c:v>05-05-2024</c:v>
                </c:pt>
                <c:pt idx="126">
                  <c:v>06-05-2024</c:v>
                </c:pt>
                <c:pt idx="127">
                  <c:v>07-05-2024</c:v>
                </c:pt>
                <c:pt idx="128">
                  <c:v>08-05-2024</c:v>
                </c:pt>
                <c:pt idx="129">
                  <c:v>09-05-2024</c:v>
                </c:pt>
                <c:pt idx="130">
                  <c:v>10-05-2024</c:v>
                </c:pt>
                <c:pt idx="131">
                  <c:v>11-05-2024</c:v>
                </c:pt>
                <c:pt idx="132">
                  <c:v>12-05-2024</c:v>
                </c:pt>
                <c:pt idx="133">
                  <c:v>13-05-2024</c:v>
                </c:pt>
                <c:pt idx="134">
                  <c:v>14-05-2024</c:v>
                </c:pt>
                <c:pt idx="135">
                  <c:v>15-05-2024</c:v>
                </c:pt>
                <c:pt idx="136">
                  <c:v>16-05-2024</c:v>
                </c:pt>
                <c:pt idx="137">
                  <c:v>17-05-2024</c:v>
                </c:pt>
                <c:pt idx="138">
                  <c:v>18-05-2024</c:v>
                </c:pt>
                <c:pt idx="139">
                  <c:v>19-05-2024</c:v>
                </c:pt>
                <c:pt idx="140">
                  <c:v>20-05-2024</c:v>
                </c:pt>
                <c:pt idx="141">
                  <c:v>21-05-2024</c:v>
                </c:pt>
                <c:pt idx="142">
                  <c:v>22-05-2024</c:v>
                </c:pt>
                <c:pt idx="143">
                  <c:v>23-05-2024</c:v>
                </c:pt>
                <c:pt idx="144">
                  <c:v>24-05-2024</c:v>
                </c:pt>
                <c:pt idx="145">
                  <c:v>25-05-2024</c:v>
                </c:pt>
                <c:pt idx="146">
                  <c:v>26-05-2024</c:v>
                </c:pt>
                <c:pt idx="147">
                  <c:v>27-05-2024</c:v>
                </c:pt>
                <c:pt idx="148">
                  <c:v>28-05-2024</c:v>
                </c:pt>
                <c:pt idx="149">
                  <c:v>29-05-2024</c:v>
                </c:pt>
                <c:pt idx="150">
                  <c:v>30-05-2024</c:v>
                </c:pt>
                <c:pt idx="151">
                  <c:v>31-05-2024</c:v>
                </c:pt>
                <c:pt idx="152">
                  <c:v>01-06-2024</c:v>
                </c:pt>
                <c:pt idx="153">
                  <c:v>02-06-2024</c:v>
                </c:pt>
                <c:pt idx="154">
                  <c:v>03-06-2024</c:v>
                </c:pt>
                <c:pt idx="155">
                  <c:v>04-06-2024</c:v>
                </c:pt>
                <c:pt idx="156">
                  <c:v>05-06-2024</c:v>
                </c:pt>
                <c:pt idx="157">
                  <c:v>06-06-2024</c:v>
                </c:pt>
                <c:pt idx="158">
                  <c:v>07-06-2024</c:v>
                </c:pt>
                <c:pt idx="159">
                  <c:v>08-06-2024</c:v>
                </c:pt>
                <c:pt idx="160">
                  <c:v>09-06-2024</c:v>
                </c:pt>
                <c:pt idx="161">
                  <c:v>10-06-2024</c:v>
                </c:pt>
                <c:pt idx="162">
                  <c:v>11-06-2024</c:v>
                </c:pt>
                <c:pt idx="163">
                  <c:v>12-06-2024</c:v>
                </c:pt>
                <c:pt idx="164">
                  <c:v>13-06-2024</c:v>
                </c:pt>
                <c:pt idx="165">
                  <c:v>14-06-2024</c:v>
                </c:pt>
                <c:pt idx="166">
                  <c:v>15-06-2024</c:v>
                </c:pt>
                <c:pt idx="167">
                  <c:v>16-06-2024</c:v>
                </c:pt>
                <c:pt idx="168">
                  <c:v>17-06-2024</c:v>
                </c:pt>
                <c:pt idx="169">
                  <c:v>18-06-2024</c:v>
                </c:pt>
                <c:pt idx="170">
                  <c:v>19-06-2024</c:v>
                </c:pt>
                <c:pt idx="171">
                  <c:v>20-06-2024</c:v>
                </c:pt>
                <c:pt idx="172">
                  <c:v>21-06-2024</c:v>
                </c:pt>
                <c:pt idx="173">
                  <c:v>22-06-2024</c:v>
                </c:pt>
                <c:pt idx="174">
                  <c:v>23-06-2024</c:v>
                </c:pt>
                <c:pt idx="175">
                  <c:v>24-06-2024</c:v>
                </c:pt>
                <c:pt idx="176">
                  <c:v>25-06-2024</c:v>
                </c:pt>
                <c:pt idx="177">
                  <c:v>26-06-2024</c:v>
                </c:pt>
                <c:pt idx="178">
                  <c:v>27-06-2024</c:v>
                </c:pt>
                <c:pt idx="179">
                  <c:v>28-06-2024</c:v>
                </c:pt>
                <c:pt idx="180">
                  <c:v>29-06-2024</c:v>
                </c:pt>
                <c:pt idx="181">
                  <c:v>30-06-2024</c:v>
                </c:pt>
                <c:pt idx="182">
                  <c:v>01-07-2024</c:v>
                </c:pt>
                <c:pt idx="183">
                  <c:v>02-07-2024</c:v>
                </c:pt>
                <c:pt idx="184">
                  <c:v>03-07-2024</c:v>
                </c:pt>
                <c:pt idx="185">
                  <c:v>04-07-2024</c:v>
                </c:pt>
                <c:pt idx="186">
                  <c:v>05-07-2024</c:v>
                </c:pt>
                <c:pt idx="187">
                  <c:v>06-07-2024</c:v>
                </c:pt>
                <c:pt idx="188">
                  <c:v>07-07-2024</c:v>
                </c:pt>
                <c:pt idx="189">
                  <c:v>08-07-2024</c:v>
                </c:pt>
                <c:pt idx="190">
                  <c:v>09-07-2024</c:v>
                </c:pt>
                <c:pt idx="191">
                  <c:v>10-07-2024</c:v>
                </c:pt>
                <c:pt idx="192">
                  <c:v>11-07-2024</c:v>
                </c:pt>
                <c:pt idx="193">
                  <c:v>12-07-2024</c:v>
                </c:pt>
                <c:pt idx="194">
                  <c:v>13-07-2024</c:v>
                </c:pt>
                <c:pt idx="195">
                  <c:v>14-07-2024</c:v>
                </c:pt>
                <c:pt idx="196">
                  <c:v>15-07-2024</c:v>
                </c:pt>
                <c:pt idx="197">
                  <c:v>16-07-2024</c:v>
                </c:pt>
                <c:pt idx="198">
                  <c:v>17-07-2024</c:v>
                </c:pt>
                <c:pt idx="199">
                  <c:v>18-07-2024</c:v>
                </c:pt>
                <c:pt idx="200">
                  <c:v>19-07-2024</c:v>
                </c:pt>
                <c:pt idx="201">
                  <c:v>20-07-2024</c:v>
                </c:pt>
                <c:pt idx="202">
                  <c:v>21-07-2024</c:v>
                </c:pt>
                <c:pt idx="203">
                  <c:v>22-07-2024</c:v>
                </c:pt>
                <c:pt idx="204">
                  <c:v>23-07-2024</c:v>
                </c:pt>
                <c:pt idx="205">
                  <c:v>24-07-2024</c:v>
                </c:pt>
                <c:pt idx="206">
                  <c:v>25-07-2024</c:v>
                </c:pt>
                <c:pt idx="207">
                  <c:v>26-07-2024</c:v>
                </c:pt>
                <c:pt idx="208">
                  <c:v>27-07-2024</c:v>
                </c:pt>
                <c:pt idx="209">
                  <c:v>28-07-2024</c:v>
                </c:pt>
                <c:pt idx="210">
                  <c:v>29-07-2024</c:v>
                </c:pt>
                <c:pt idx="211">
                  <c:v>30-07-2024</c:v>
                </c:pt>
                <c:pt idx="212">
                  <c:v>31-07-2024</c:v>
                </c:pt>
                <c:pt idx="213">
                  <c:v>01-08-2024</c:v>
                </c:pt>
                <c:pt idx="214">
                  <c:v>02-08-2024</c:v>
                </c:pt>
                <c:pt idx="215">
                  <c:v>03-08-2024</c:v>
                </c:pt>
                <c:pt idx="216">
                  <c:v>04-08-2024</c:v>
                </c:pt>
                <c:pt idx="217">
                  <c:v>05-08-2024</c:v>
                </c:pt>
                <c:pt idx="218">
                  <c:v>06-08-2024</c:v>
                </c:pt>
                <c:pt idx="219">
                  <c:v>07-08-2024</c:v>
                </c:pt>
                <c:pt idx="220">
                  <c:v>08-08-2024</c:v>
                </c:pt>
                <c:pt idx="221">
                  <c:v>09-08-2024</c:v>
                </c:pt>
                <c:pt idx="222">
                  <c:v>10-08-2024</c:v>
                </c:pt>
                <c:pt idx="223">
                  <c:v>11-08-2024</c:v>
                </c:pt>
                <c:pt idx="224">
                  <c:v>12-08-2024</c:v>
                </c:pt>
                <c:pt idx="225">
                  <c:v>13-08-2024</c:v>
                </c:pt>
                <c:pt idx="226">
                  <c:v>14-08-2024</c:v>
                </c:pt>
                <c:pt idx="227">
                  <c:v>15-08-2024</c:v>
                </c:pt>
                <c:pt idx="228">
                  <c:v>16-08-2024</c:v>
                </c:pt>
                <c:pt idx="229">
                  <c:v>17-08-2024</c:v>
                </c:pt>
                <c:pt idx="230">
                  <c:v>18-08-2024</c:v>
                </c:pt>
                <c:pt idx="231">
                  <c:v>19-08-2024</c:v>
                </c:pt>
                <c:pt idx="232">
                  <c:v>20-08-2024</c:v>
                </c:pt>
                <c:pt idx="233">
                  <c:v>21-08-2024</c:v>
                </c:pt>
                <c:pt idx="234">
                  <c:v>22-08-2024</c:v>
                </c:pt>
                <c:pt idx="235">
                  <c:v>23-08-2024</c:v>
                </c:pt>
                <c:pt idx="236">
                  <c:v>24-08-2024</c:v>
                </c:pt>
                <c:pt idx="237">
                  <c:v>25-08-2024</c:v>
                </c:pt>
                <c:pt idx="238">
                  <c:v>26-08-2024</c:v>
                </c:pt>
                <c:pt idx="239">
                  <c:v>27-08-2024</c:v>
                </c:pt>
                <c:pt idx="240">
                  <c:v>28-08-2024</c:v>
                </c:pt>
                <c:pt idx="241">
                  <c:v>29-08-2024</c:v>
                </c:pt>
                <c:pt idx="242">
                  <c:v>30-08-2024</c:v>
                </c:pt>
                <c:pt idx="243">
                  <c:v>31-08-2024</c:v>
                </c:pt>
                <c:pt idx="244">
                  <c:v>01-09-2024</c:v>
                </c:pt>
                <c:pt idx="245">
                  <c:v>02-09-2024</c:v>
                </c:pt>
                <c:pt idx="246">
                  <c:v>03-09-2024</c:v>
                </c:pt>
                <c:pt idx="247">
                  <c:v>04-09-2024</c:v>
                </c:pt>
                <c:pt idx="248">
                  <c:v>05-09-2024</c:v>
                </c:pt>
                <c:pt idx="249">
                  <c:v>06-09-2024</c:v>
                </c:pt>
                <c:pt idx="250">
                  <c:v>07-09-2024</c:v>
                </c:pt>
                <c:pt idx="251">
                  <c:v>08-09-2024</c:v>
                </c:pt>
                <c:pt idx="252">
                  <c:v>09-09-2024</c:v>
                </c:pt>
                <c:pt idx="253">
                  <c:v>10-09-2024</c:v>
                </c:pt>
                <c:pt idx="254">
                  <c:v>11-09-2024</c:v>
                </c:pt>
                <c:pt idx="255">
                  <c:v>12-09-2024</c:v>
                </c:pt>
                <c:pt idx="256">
                  <c:v>13-09-2024</c:v>
                </c:pt>
                <c:pt idx="257">
                  <c:v>14-09-2024</c:v>
                </c:pt>
                <c:pt idx="258">
                  <c:v>15-09-2024</c:v>
                </c:pt>
                <c:pt idx="259">
                  <c:v>16-09-2024</c:v>
                </c:pt>
                <c:pt idx="260">
                  <c:v>17-09-2024</c:v>
                </c:pt>
                <c:pt idx="261">
                  <c:v>18-09-2024</c:v>
                </c:pt>
                <c:pt idx="262">
                  <c:v>19-09-2024</c:v>
                </c:pt>
                <c:pt idx="263">
                  <c:v>20-09-2024</c:v>
                </c:pt>
                <c:pt idx="264">
                  <c:v>21-09-2024</c:v>
                </c:pt>
                <c:pt idx="265">
                  <c:v>22-09-2024</c:v>
                </c:pt>
                <c:pt idx="266">
                  <c:v>23-09-2024</c:v>
                </c:pt>
                <c:pt idx="267">
                  <c:v>24-09-2024</c:v>
                </c:pt>
                <c:pt idx="268">
                  <c:v>25-09-2024</c:v>
                </c:pt>
                <c:pt idx="269">
                  <c:v>26-09-2024</c:v>
                </c:pt>
                <c:pt idx="270">
                  <c:v>27-09-2024</c:v>
                </c:pt>
                <c:pt idx="271">
                  <c:v>28-09-2024</c:v>
                </c:pt>
                <c:pt idx="272">
                  <c:v>29-09-2024</c:v>
                </c:pt>
                <c:pt idx="273">
                  <c:v>30-09-2024</c:v>
                </c:pt>
                <c:pt idx="274">
                  <c:v>01-10-2024</c:v>
                </c:pt>
                <c:pt idx="275">
                  <c:v>02-10-2024</c:v>
                </c:pt>
                <c:pt idx="276">
                  <c:v>03-10-2024</c:v>
                </c:pt>
                <c:pt idx="277">
                  <c:v>04-10-2024</c:v>
                </c:pt>
                <c:pt idx="278">
                  <c:v>05-10-2024</c:v>
                </c:pt>
                <c:pt idx="279">
                  <c:v>06-10-2024</c:v>
                </c:pt>
                <c:pt idx="280">
                  <c:v>07-10-2024</c:v>
                </c:pt>
                <c:pt idx="281">
                  <c:v>08-10-2024</c:v>
                </c:pt>
                <c:pt idx="282">
                  <c:v>09-10-2024</c:v>
                </c:pt>
                <c:pt idx="283">
                  <c:v>10-10-2024</c:v>
                </c:pt>
                <c:pt idx="284">
                  <c:v>11-10-2024</c:v>
                </c:pt>
                <c:pt idx="285">
                  <c:v>12-10-2024</c:v>
                </c:pt>
                <c:pt idx="286">
                  <c:v>13-10-2024</c:v>
                </c:pt>
                <c:pt idx="287">
                  <c:v>14-10-2024</c:v>
                </c:pt>
                <c:pt idx="288">
                  <c:v>15-10-2024</c:v>
                </c:pt>
                <c:pt idx="289">
                  <c:v>16-10-2024</c:v>
                </c:pt>
                <c:pt idx="290">
                  <c:v>17-10-2024</c:v>
                </c:pt>
                <c:pt idx="291">
                  <c:v>18-10-2024</c:v>
                </c:pt>
                <c:pt idx="292">
                  <c:v>19-10-2024</c:v>
                </c:pt>
                <c:pt idx="293">
                  <c:v>20-10-2024</c:v>
                </c:pt>
                <c:pt idx="294">
                  <c:v>21-10-2024</c:v>
                </c:pt>
                <c:pt idx="295">
                  <c:v>22-10-2024</c:v>
                </c:pt>
                <c:pt idx="296">
                  <c:v>23-10-2024</c:v>
                </c:pt>
                <c:pt idx="297">
                  <c:v>24-10-2024</c:v>
                </c:pt>
                <c:pt idx="298">
                  <c:v>25-10-2024</c:v>
                </c:pt>
                <c:pt idx="299">
                  <c:v>26-10-2024</c:v>
                </c:pt>
              </c:strCache>
            </c:strRef>
          </c:cat>
          <c:val>
            <c:numRef>
              <c:f>Sales_Trend!$B$4:$B$304</c:f>
              <c:numCache>
                <c:formatCode>"₹"\ #,##0.00</c:formatCode>
                <c:ptCount val="300"/>
                <c:pt idx="0">
                  <c:v>518508</c:v>
                </c:pt>
                <c:pt idx="1">
                  <c:v>143584</c:v>
                </c:pt>
                <c:pt idx="2">
                  <c:v>27372</c:v>
                </c:pt>
                <c:pt idx="3">
                  <c:v>16524</c:v>
                </c:pt>
                <c:pt idx="4">
                  <c:v>2856</c:v>
                </c:pt>
                <c:pt idx="5">
                  <c:v>288425</c:v>
                </c:pt>
                <c:pt idx="6">
                  <c:v>22481</c:v>
                </c:pt>
                <c:pt idx="7">
                  <c:v>30126</c:v>
                </c:pt>
                <c:pt idx="8">
                  <c:v>10322</c:v>
                </c:pt>
                <c:pt idx="9">
                  <c:v>1827</c:v>
                </c:pt>
                <c:pt idx="10">
                  <c:v>91976</c:v>
                </c:pt>
                <c:pt idx="11">
                  <c:v>81432</c:v>
                </c:pt>
                <c:pt idx="12">
                  <c:v>28760</c:v>
                </c:pt>
                <c:pt idx="13">
                  <c:v>26625</c:v>
                </c:pt>
                <c:pt idx="14">
                  <c:v>13536</c:v>
                </c:pt>
                <c:pt idx="15">
                  <c:v>334355</c:v>
                </c:pt>
                <c:pt idx="16">
                  <c:v>168192</c:v>
                </c:pt>
                <c:pt idx="17">
                  <c:v>43812</c:v>
                </c:pt>
                <c:pt idx="18">
                  <c:v>95830</c:v>
                </c:pt>
                <c:pt idx="19">
                  <c:v>2482</c:v>
                </c:pt>
                <c:pt idx="20">
                  <c:v>105402</c:v>
                </c:pt>
                <c:pt idx="21">
                  <c:v>65940</c:v>
                </c:pt>
                <c:pt idx="22">
                  <c:v>31996</c:v>
                </c:pt>
                <c:pt idx="23">
                  <c:v>22210</c:v>
                </c:pt>
                <c:pt idx="24">
                  <c:v>12042</c:v>
                </c:pt>
                <c:pt idx="25">
                  <c:v>332535</c:v>
                </c:pt>
                <c:pt idx="26">
                  <c:v>219256</c:v>
                </c:pt>
                <c:pt idx="27">
                  <c:v>59283</c:v>
                </c:pt>
                <c:pt idx="28">
                  <c:v>37680</c:v>
                </c:pt>
                <c:pt idx="29">
                  <c:v>864</c:v>
                </c:pt>
                <c:pt idx="30">
                  <c:v>88272</c:v>
                </c:pt>
                <c:pt idx="31">
                  <c:v>60222</c:v>
                </c:pt>
                <c:pt idx="32">
                  <c:v>19868</c:v>
                </c:pt>
                <c:pt idx="33">
                  <c:v>48100</c:v>
                </c:pt>
                <c:pt idx="34">
                  <c:v>8148</c:v>
                </c:pt>
                <c:pt idx="35">
                  <c:v>360220</c:v>
                </c:pt>
                <c:pt idx="36">
                  <c:v>169152</c:v>
                </c:pt>
                <c:pt idx="37">
                  <c:v>99027</c:v>
                </c:pt>
                <c:pt idx="38">
                  <c:v>92700</c:v>
                </c:pt>
                <c:pt idx="39">
                  <c:v>1646</c:v>
                </c:pt>
                <c:pt idx="40">
                  <c:v>159801</c:v>
                </c:pt>
                <c:pt idx="41">
                  <c:v>85164</c:v>
                </c:pt>
                <c:pt idx="42">
                  <c:v>34660</c:v>
                </c:pt>
                <c:pt idx="43">
                  <c:v>38358</c:v>
                </c:pt>
                <c:pt idx="44">
                  <c:v>13209</c:v>
                </c:pt>
                <c:pt idx="45">
                  <c:v>348968</c:v>
                </c:pt>
                <c:pt idx="46">
                  <c:v>201798</c:v>
                </c:pt>
                <c:pt idx="47">
                  <c:v>40688</c:v>
                </c:pt>
                <c:pt idx="48">
                  <c:v>57285</c:v>
                </c:pt>
                <c:pt idx="49">
                  <c:v>12894</c:v>
                </c:pt>
                <c:pt idx="50">
                  <c:v>377608</c:v>
                </c:pt>
                <c:pt idx="51">
                  <c:v>226760</c:v>
                </c:pt>
                <c:pt idx="52">
                  <c:v>46269</c:v>
                </c:pt>
                <c:pt idx="53">
                  <c:v>79730</c:v>
                </c:pt>
                <c:pt idx="54">
                  <c:v>14113</c:v>
                </c:pt>
                <c:pt idx="55">
                  <c:v>51899</c:v>
                </c:pt>
                <c:pt idx="56">
                  <c:v>51476</c:v>
                </c:pt>
                <c:pt idx="57">
                  <c:v>24156</c:v>
                </c:pt>
                <c:pt idx="58">
                  <c:v>44988</c:v>
                </c:pt>
                <c:pt idx="59">
                  <c:v>8290</c:v>
                </c:pt>
                <c:pt idx="60">
                  <c:v>310440</c:v>
                </c:pt>
                <c:pt idx="61">
                  <c:v>202993</c:v>
                </c:pt>
                <c:pt idx="62">
                  <c:v>76592</c:v>
                </c:pt>
                <c:pt idx="63">
                  <c:v>83853</c:v>
                </c:pt>
                <c:pt idx="64">
                  <c:v>8060</c:v>
                </c:pt>
                <c:pt idx="65">
                  <c:v>604274</c:v>
                </c:pt>
                <c:pt idx="66">
                  <c:v>258816</c:v>
                </c:pt>
                <c:pt idx="67">
                  <c:v>107783</c:v>
                </c:pt>
                <c:pt idx="68">
                  <c:v>48650</c:v>
                </c:pt>
                <c:pt idx="69">
                  <c:v>20730</c:v>
                </c:pt>
                <c:pt idx="70">
                  <c:v>162816</c:v>
                </c:pt>
                <c:pt idx="71">
                  <c:v>82820</c:v>
                </c:pt>
                <c:pt idx="72">
                  <c:v>24055</c:v>
                </c:pt>
                <c:pt idx="73">
                  <c:v>62682</c:v>
                </c:pt>
                <c:pt idx="74">
                  <c:v>11767</c:v>
                </c:pt>
                <c:pt idx="75">
                  <c:v>351600</c:v>
                </c:pt>
                <c:pt idx="76">
                  <c:v>160947</c:v>
                </c:pt>
                <c:pt idx="77">
                  <c:v>8095</c:v>
                </c:pt>
                <c:pt idx="78">
                  <c:v>16956</c:v>
                </c:pt>
                <c:pt idx="79">
                  <c:v>5109</c:v>
                </c:pt>
                <c:pt idx="80">
                  <c:v>212604</c:v>
                </c:pt>
                <c:pt idx="81">
                  <c:v>116750</c:v>
                </c:pt>
                <c:pt idx="82">
                  <c:v>38605</c:v>
                </c:pt>
                <c:pt idx="83">
                  <c:v>38190</c:v>
                </c:pt>
                <c:pt idx="84">
                  <c:v>17780</c:v>
                </c:pt>
                <c:pt idx="85">
                  <c:v>406624</c:v>
                </c:pt>
                <c:pt idx="86">
                  <c:v>103484</c:v>
                </c:pt>
                <c:pt idx="87">
                  <c:v>28827</c:v>
                </c:pt>
                <c:pt idx="88">
                  <c:v>43520</c:v>
                </c:pt>
                <c:pt idx="89">
                  <c:v>11802</c:v>
                </c:pt>
                <c:pt idx="90">
                  <c:v>125142</c:v>
                </c:pt>
                <c:pt idx="91">
                  <c:v>91845</c:v>
                </c:pt>
                <c:pt idx="92">
                  <c:v>33909</c:v>
                </c:pt>
                <c:pt idx="93">
                  <c:v>10320</c:v>
                </c:pt>
                <c:pt idx="94">
                  <c:v>3408</c:v>
                </c:pt>
                <c:pt idx="95">
                  <c:v>145419</c:v>
                </c:pt>
                <c:pt idx="96">
                  <c:v>107780</c:v>
                </c:pt>
                <c:pt idx="97">
                  <c:v>28848</c:v>
                </c:pt>
                <c:pt idx="98">
                  <c:v>34125</c:v>
                </c:pt>
                <c:pt idx="99">
                  <c:v>8634</c:v>
                </c:pt>
                <c:pt idx="100">
                  <c:v>341565</c:v>
                </c:pt>
                <c:pt idx="101">
                  <c:v>124936</c:v>
                </c:pt>
                <c:pt idx="102">
                  <c:v>17307</c:v>
                </c:pt>
                <c:pt idx="103">
                  <c:v>34353</c:v>
                </c:pt>
                <c:pt idx="104">
                  <c:v>4070</c:v>
                </c:pt>
                <c:pt idx="105">
                  <c:v>142086</c:v>
                </c:pt>
                <c:pt idx="106">
                  <c:v>19579</c:v>
                </c:pt>
                <c:pt idx="107">
                  <c:v>8036</c:v>
                </c:pt>
                <c:pt idx="108">
                  <c:v>6936</c:v>
                </c:pt>
                <c:pt idx="109">
                  <c:v>3208</c:v>
                </c:pt>
                <c:pt idx="110">
                  <c:v>157419</c:v>
                </c:pt>
                <c:pt idx="111">
                  <c:v>93504</c:v>
                </c:pt>
                <c:pt idx="112">
                  <c:v>38628</c:v>
                </c:pt>
                <c:pt idx="113">
                  <c:v>42648</c:v>
                </c:pt>
                <c:pt idx="114">
                  <c:v>3220</c:v>
                </c:pt>
                <c:pt idx="115">
                  <c:v>521397</c:v>
                </c:pt>
                <c:pt idx="116">
                  <c:v>169911</c:v>
                </c:pt>
                <c:pt idx="117">
                  <c:v>15405</c:v>
                </c:pt>
                <c:pt idx="118">
                  <c:v>16796</c:v>
                </c:pt>
                <c:pt idx="119">
                  <c:v>8025</c:v>
                </c:pt>
                <c:pt idx="120">
                  <c:v>108922</c:v>
                </c:pt>
                <c:pt idx="121">
                  <c:v>37010</c:v>
                </c:pt>
                <c:pt idx="122">
                  <c:v>28182</c:v>
                </c:pt>
                <c:pt idx="123">
                  <c:v>34062</c:v>
                </c:pt>
                <c:pt idx="124">
                  <c:v>20928</c:v>
                </c:pt>
                <c:pt idx="125">
                  <c:v>474084</c:v>
                </c:pt>
                <c:pt idx="126">
                  <c:v>15702</c:v>
                </c:pt>
                <c:pt idx="127">
                  <c:v>15132</c:v>
                </c:pt>
                <c:pt idx="128">
                  <c:v>35484</c:v>
                </c:pt>
                <c:pt idx="129">
                  <c:v>14425</c:v>
                </c:pt>
                <c:pt idx="130">
                  <c:v>348474</c:v>
                </c:pt>
                <c:pt idx="131">
                  <c:v>116613</c:v>
                </c:pt>
                <c:pt idx="132">
                  <c:v>70432</c:v>
                </c:pt>
                <c:pt idx="133">
                  <c:v>89172</c:v>
                </c:pt>
                <c:pt idx="134">
                  <c:v>12090</c:v>
                </c:pt>
                <c:pt idx="135">
                  <c:v>41002</c:v>
                </c:pt>
                <c:pt idx="136">
                  <c:v>40830</c:v>
                </c:pt>
                <c:pt idx="137">
                  <c:v>12201</c:v>
                </c:pt>
                <c:pt idx="138">
                  <c:v>34712</c:v>
                </c:pt>
                <c:pt idx="139">
                  <c:v>11825</c:v>
                </c:pt>
                <c:pt idx="140">
                  <c:v>251370</c:v>
                </c:pt>
                <c:pt idx="141">
                  <c:v>198674</c:v>
                </c:pt>
                <c:pt idx="142">
                  <c:v>48536</c:v>
                </c:pt>
                <c:pt idx="143">
                  <c:v>16735</c:v>
                </c:pt>
                <c:pt idx="144">
                  <c:v>10800</c:v>
                </c:pt>
                <c:pt idx="145">
                  <c:v>286517</c:v>
                </c:pt>
                <c:pt idx="146">
                  <c:v>164944</c:v>
                </c:pt>
                <c:pt idx="147">
                  <c:v>103851</c:v>
                </c:pt>
                <c:pt idx="148">
                  <c:v>42870</c:v>
                </c:pt>
                <c:pt idx="149">
                  <c:v>2522</c:v>
                </c:pt>
                <c:pt idx="150">
                  <c:v>83080</c:v>
                </c:pt>
                <c:pt idx="151">
                  <c:v>56865</c:v>
                </c:pt>
                <c:pt idx="152">
                  <c:v>45088</c:v>
                </c:pt>
                <c:pt idx="153">
                  <c:v>42625</c:v>
                </c:pt>
                <c:pt idx="154">
                  <c:v>8634</c:v>
                </c:pt>
                <c:pt idx="155">
                  <c:v>322441</c:v>
                </c:pt>
                <c:pt idx="156">
                  <c:v>153312</c:v>
                </c:pt>
                <c:pt idx="157">
                  <c:v>36279</c:v>
                </c:pt>
                <c:pt idx="158">
                  <c:v>104460</c:v>
                </c:pt>
                <c:pt idx="159">
                  <c:v>2491</c:v>
                </c:pt>
                <c:pt idx="160">
                  <c:v>92080</c:v>
                </c:pt>
                <c:pt idx="161">
                  <c:v>87636</c:v>
                </c:pt>
                <c:pt idx="162">
                  <c:v>37984</c:v>
                </c:pt>
                <c:pt idx="163">
                  <c:v>22040</c:v>
                </c:pt>
                <c:pt idx="164">
                  <c:v>9972</c:v>
                </c:pt>
                <c:pt idx="165">
                  <c:v>348460</c:v>
                </c:pt>
                <c:pt idx="166">
                  <c:v>127088</c:v>
                </c:pt>
                <c:pt idx="167">
                  <c:v>28314</c:v>
                </c:pt>
                <c:pt idx="168">
                  <c:v>50320</c:v>
                </c:pt>
                <c:pt idx="169">
                  <c:v>26708</c:v>
                </c:pt>
                <c:pt idx="170">
                  <c:v>189704</c:v>
                </c:pt>
                <c:pt idx="171">
                  <c:v>100640</c:v>
                </c:pt>
                <c:pt idx="172">
                  <c:v>53010</c:v>
                </c:pt>
                <c:pt idx="173">
                  <c:v>58184</c:v>
                </c:pt>
                <c:pt idx="174">
                  <c:v>10544</c:v>
                </c:pt>
                <c:pt idx="175">
                  <c:v>389016</c:v>
                </c:pt>
                <c:pt idx="176">
                  <c:v>271380</c:v>
                </c:pt>
                <c:pt idx="177">
                  <c:v>10097</c:v>
                </c:pt>
                <c:pt idx="178">
                  <c:v>22666</c:v>
                </c:pt>
                <c:pt idx="179">
                  <c:v>5088</c:v>
                </c:pt>
                <c:pt idx="180">
                  <c:v>185204</c:v>
                </c:pt>
                <c:pt idx="181">
                  <c:v>128265</c:v>
                </c:pt>
                <c:pt idx="182">
                  <c:v>28314</c:v>
                </c:pt>
                <c:pt idx="183">
                  <c:v>44807</c:v>
                </c:pt>
                <c:pt idx="184">
                  <c:v>12488</c:v>
                </c:pt>
                <c:pt idx="185">
                  <c:v>369603</c:v>
                </c:pt>
                <c:pt idx="186">
                  <c:v>177910</c:v>
                </c:pt>
                <c:pt idx="187">
                  <c:v>18525</c:v>
                </c:pt>
                <c:pt idx="188">
                  <c:v>13704</c:v>
                </c:pt>
                <c:pt idx="189">
                  <c:v>6908</c:v>
                </c:pt>
                <c:pt idx="190">
                  <c:v>287270</c:v>
                </c:pt>
                <c:pt idx="191">
                  <c:v>141402</c:v>
                </c:pt>
                <c:pt idx="192">
                  <c:v>42770</c:v>
                </c:pt>
                <c:pt idx="193">
                  <c:v>10338</c:v>
                </c:pt>
                <c:pt idx="194">
                  <c:v>2523</c:v>
                </c:pt>
                <c:pt idx="195">
                  <c:v>212510</c:v>
                </c:pt>
                <c:pt idx="196">
                  <c:v>70068</c:v>
                </c:pt>
                <c:pt idx="197">
                  <c:v>22442</c:v>
                </c:pt>
                <c:pt idx="198">
                  <c:v>12291</c:v>
                </c:pt>
                <c:pt idx="199">
                  <c:v>1296</c:v>
                </c:pt>
                <c:pt idx="200">
                  <c:v>43148</c:v>
                </c:pt>
                <c:pt idx="201">
                  <c:v>27594</c:v>
                </c:pt>
                <c:pt idx="202">
                  <c:v>3046</c:v>
                </c:pt>
                <c:pt idx="203">
                  <c:v>9683</c:v>
                </c:pt>
                <c:pt idx="204">
                  <c:v>2637</c:v>
                </c:pt>
                <c:pt idx="205">
                  <c:v>56433</c:v>
                </c:pt>
                <c:pt idx="206">
                  <c:v>16943</c:v>
                </c:pt>
                <c:pt idx="207">
                  <c:v>5117</c:v>
                </c:pt>
                <c:pt idx="208">
                  <c:v>4673</c:v>
                </c:pt>
                <c:pt idx="209">
                  <c:v>3454</c:v>
                </c:pt>
                <c:pt idx="210">
                  <c:v>81232</c:v>
                </c:pt>
                <c:pt idx="211">
                  <c:v>56424</c:v>
                </c:pt>
                <c:pt idx="212">
                  <c:v>24759</c:v>
                </c:pt>
                <c:pt idx="213">
                  <c:v>40605</c:v>
                </c:pt>
                <c:pt idx="214">
                  <c:v>5465</c:v>
                </c:pt>
                <c:pt idx="215">
                  <c:v>264475</c:v>
                </c:pt>
                <c:pt idx="216">
                  <c:v>120468</c:v>
                </c:pt>
                <c:pt idx="217">
                  <c:v>14340</c:v>
                </c:pt>
                <c:pt idx="218">
                  <c:v>17670</c:v>
                </c:pt>
                <c:pt idx="219">
                  <c:v>3222</c:v>
                </c:pt>
                <c:pt idx="220">
                  <c:v>190440</c:v>
                </c:pt>
                <c:pt idx="221">
                  <c:v>112408</c:v>
                </c:pt>
                <c:pt idx="222">
                  <c:v>57022</c:v>
                </c:pt>
                <c:pt idx="223">
                  <c:v>21707</c:v>
                </c:pt>
                <c:pt idx="224">
                  <c:v>6855</c:v>
                </c:pt>
                <c:pt idx="225">
                  <c:v>434916</c:v>
                </c:pt>
                <c:pt idx="226">
                  <c:v>213776</c:v>
                </c:pt>
                <c:pt idx="227">
                  <c:v>55335</c:v>
                </c:pt>
                <c:pt idx="228">
                  <c:v>41598</c:v>
                </c:pt>
                <c:pt idx="229">
                  <c:v>2993</c:v>
                </c:pt>
                <c:pt idx="230">
                  <c:v>41721</c:v>
                </c:pt>
                <c:pt idx="231">
                  <c:v>72536</c:v>
                </c:pt>
                <c:pt idx="232">
                  <c:v>47450</c:v>
                </c:pt>
                <c:pt idx="233">
                  <c:v>24390</c:v>
                </c:pt>
                <c:pt idx="234">
                  <c:v>7028</c:v>
                </c:pt>
                <c:pt idx="235">
                  <c:v>168765</c:v>
                </c:pt>
                <c:pt idx="236">
                  <c:v>146736</c:v>
                </c:pt>
                <c:pt idx="237">
                  <c:v>102483</c:v>
                </c:pt>
                <c:pt idx="238">
                  <c:v>17005</c:v>
                </c:pt>
                <c:pt idx="239">
                  <c:v>12966</c:v>
                </c:pt>
                <c:pt idx="240">
                  <c:v>126600</c:v>
                </c:pt>
                <c:pt idx="241">
                  <c:v>71096</c:v>
                </c:pt>
                <c:pt idx="242">
                  <c:v>35580</c:v>
                </c:pt>
                <c:pt idx="243">
                  <c:v>55770</c:v>
                </c:pt>
                <c:pt idx="244">
                  <c:v>17458</c:v>
                </c:pt>
                <c:pt idx="245">
                  <c:v>142254</c:v>
                </c:pt>
                <c:pt idx="246">
                  <c:v>42970</c:v>
                </c:pt>
                <c:pt idx="247">
                  <c:v>28011</c:v>
                </c:pt>
                <c:pt idx="248">
                  <c:v>23064</c:v>
                </c:pt>
                <c:pt idx="249">
                  <c:v>1375</c:v>
                </c:pt>
                <c:pt idx="250">
                  <c:v>354361</c:v>
                </c:pt>
                <c:pt idx="251">
                  <c:v>159474</c:v>
                </c:pt>
                <c:pt idx="252">
                  <c:v>19590</c:v>
                </c:pt>
                <c:pt idx="253">
                  <c:v>31340</c:v>
                </c:pt>
                <c:pt idx="254">
                  <c:v>4034</c:v>
                </c:pt>
                <c:pt idx="255">
                  <c:v>516393</c:v>
                </c:pt>
                <c:pt idx="256">
                  <c:v>178164</c:v>
                </c:pt>
                <c:pt idx="257">
                  <c:v>56840</c:v>
                </c:pt>
                <c:pt idx="258">
                  <c:v>12876</c:v>
                </c:pt>
                <c:pt idx="259">
                  <c:v>2494</c:v>
                </c:pt>
                <c:pt idx="260">
                  <c:v>173655</c:v>
                </c:pt>
                <c:pt idx="261">
                  <c:v>98184</c:v>
                </c:pt>
                <c:pt idx="262">
                  <c:v>57492</c:v>
                </c:pt>
                <c:pt idx="263">
                  <c:v>8398</c:v>
                </c:pt>
                <c:pt idx="264">
                  <c:v>3954</c:v>
                </c:pt>
                <c:pt idx="265">
                  <c:v>163467</c:v>
                </c:pt>
                <c:pt idx="266">
                  <c:v>86688</c:v>
                </c:pt>
                <c:pt idx="267">
                  <c:v>70956</c:v>
                </c:pt>
                <c:pt idx="268">
                  <c:v>6523</c:v>
                </c:pt>
                <c:pt idx="269">
                  <c:v>4008</c:v>
                </c:pt>
                <c:pt idx="270">
                  <c:v>463096</c:v>
                </c:pt>
                <c:pt idx="271">
                  <c:v>204849</c:v>
                </c:pt>
                <c:pt idx="272">
                  <c:v>42836</c:v>
                </c:pt>
                <c:pt idx="273">
                  <c:v>19032</c:v>
                </c:pt>
                <c:pt idx="274">
                  <c:v>2708</c:v>
                </c:pt>
                <c:pt idx="275">
                  <c:v>87840</c:v>
                </c:pt>
                <c:pt idx="276">
                  <c:v>128565</c:v>
                </c:pt>
                <c:pt idx="277">
                  <c:v>43974</c:v>
                </c:pt>
                <c:pt idx="278">
                  <c:v>27265</c:v>
                </c:pt>
                <c:pt idx="279">
                  <c:v>12464</c:v>
                </c:pt>
                <c:pt idx="280">
                  <c:v>47134</c:v>
                </c:pt>
                <c:pt idx="281">
                  <c:v>44900</c:v>
                </c:pt>
                <c:pt idx="282">
                  <c:v>31599</c:v>
                </c:pt>
                <c:pt idx="283">
                  <c:v>24207</c:v>
                </c:pt>
                <c:pt idx="284">
                  <c:v>6984</c:v>
                </c:pt>
                <c:pt idx="285">
                  <c:v>357414</c:v>
                </c:pt>
                <c:pt idx="286">
                  <c:v>115340</c:v>
                </c:pt>
                <c:pt idx="287">
                  <c:v>56658</c:v>
                </c:pt>
                <c:pt idx="288">
                  <c:v>28992</c:v>
                </c:pt>
                <c:pt idx="289">
                  <c:v>10409</c:v>
                </c:pt>
                <c:pt idx="290">
                  <c:v>48808</c:v>
                </c:pt>
                <c:pt idx="291">
                  <c:v>22123</c:v>
                </c:pt>
                <c:pt idx="292">
                  <c:v>21366</c:v>
                </c:pt>
                <c:pt idx="293">
                  <c:v>8002</c:v>
                </c:pt>
                <c:pt idx="294">
                  <c:v>4938</c:v>
                </c:pt>
                <c:pt idx="295">
                  <c:v>136149</c:v>
                </c:pt>
                <c:pt idx="296">
                  <c:v>64146</c:v>
                </c:pt>
                <c:pt idx="297">
                  <c:v>9735</c:v>
                </c:pt>
                <c:pt idx="298">
                  <c:v>5594</c:v>
                </c:pt>
                <c:pt idx="299">
                  <c:v>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8-44C2-A2FF-5136A471E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399239"/>
        <c:axId val="730401287"/>
      </c:lineChart>
      <c:catAx>
        <c:axId val="730399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01287"/>
        <c:crosses val="autoZero"/>
        <c:auto val="1"/>
        <c:lblAlgn val="ctr"/>
        <c:lblOffset val="100"/>
        <c:noMultiLvlLbl val="0"/>
      </c:catAx>
      <c:valAx>
        <c:axId val="73040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99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[Sales_Performance_Dashboard.xlsx.xlsx]Product_Pivot!PivotTable1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Product sales</a:t>
            </a:r>
          </a:p>
        </c:rich>
      </c:tx>
      <c:layout>
        <c:manualLayout>
          <c:xMode val="edge"/>
          <c:yMode val="edge"/>
          <c:x val="0.29649299027850934"/>
          <c:y val="3.0092663235134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Product_Pivot!$A$4:$A$9</c:f>
              <c:strCache>
                <c:ptCount val="5"/>
                <c:pt idx="0">
                  <c:v>Chair</c:v>
                </c:pt>
                <c:pt idx="1">
                  <c:v>Headset</c:v>
                </c:pt>
                <c:pt idx="2">
                  <c:v>Laptop</c:v>
                </c:pt>
                <c:pt idx="3">
                  <c:v>Mobile</c:v>
                </c:pt>
                <c:pt idx="4">
                  <c:v>Table</c:v>
                </c:pt>
              </c:strCache>
            </c:strRef>
          </c:cat>
          <c:val>
            <c:numRef>
              <c:f>Product_Pivot!$B$4:$B$9</c:f>
              <c:numCache>
                <c:formatCode>"₹"\ #,##0.00</c:formatCode>
                <c:ptCount val="5"/>
                <c:pt idx="0">
                  <c:v>2297453</c:v>
                </c:pt>
                <c:pt idx="1">
                  <c:v>473887</c:v>
                </c:pt>
                <c:pt idx="2">
                  <c:v>14427393</c:v>
                </c:pt>
                <c:pt idx="3">
                  <c:v>6900545</c:v>
                </c:pt>
                <c:pt idx="4">
                  <c:v>2072245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8-4A2F-AD7C-751736974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12199"/>
        <c:axId val="249730567"/>
      </c:barChart>
      <c:catAx>
        <c:axId val="20871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30567"/>
        <c:crosses val="autoZero"/>
        <c:auto val="1"/>
        <c:lblAlgn val="ctr"/>
        <c:lblOffset val="100"/>
        <c:noMultiLvlLbl val="0"/>
      </c:catAx>
      <c:valAx>
        <c:axId val="24973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E9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[Sales_Performance_Dashboard.xlsx.xlsx]Region_Pivot!PivotTable1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AA-4A1C-B60B-A66DD8AC3A8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AA-4A1C-B60B-A66DD8AC3A8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AA-4A1C-B60B-A66DD8AC3A80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AA-4A1C-B60B-A66DD8AC3A80}"/>
              </c:ext>
            </c:extLst>
          </c:dPt>
          <c:cat>
            <c:strRef>
              <c:f>Region_Pivot!$A$4:$A$8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Region_Pivot!$B$4:$B$8</c:f>
              <c:numCache>
                <c:formatCode>"₹"\ #,##0.00</c:formatCode>
                <c:ptCount val="4"/>
                <c:pt idx="0">
                  <c:v>2249066</c:v>
                </c:pt>
                <c:pt idx="1">
                  <c:v>11983822</c:v>
                </c:pt>
                <c:pt idx="2">
                  <c:v>9818003</c:v>
                </c:pt>
                <c:pt idx="3">
                  <c:v>2120632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AA-4A1C-B60B-A66DD8AC3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[Sales_Performance_Dashboard.xlsx.xlsx]Sales_Trend!PivotTable2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5201805846302175"/>
          <c:y val="2.6771685582759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Sales_Trend!$A$4:$A$304</c:f>
              <c:strCache>
                <c:ptCount val="300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  <c:pt idx="10">
                  <c:v>11-01-2024</c:v>
                </c:pt>
                <c:pt idx="11">
                  <c:v>12-01-2024</c:v>
                </c:pt>
                <c:pt idx="12">
                  <c:v>13-01-2024</c:v>
                </c:pt>
                <c:pt idx="13">
                  <c:v>14-01-2024</c:v>
                </c:pt>
                <c:pt idx="14">
                  <c:v>15-01-2024</c:v>
                </c:pt>
                <c:pt idx="15">
                  <c:v>16-01-2024</c:v>
                </c:pt>
                <c:pt idx="16">
                  <c:v>17-01-2024</c:v>
                </c:pt>
                <c:pt idx="17">
                  <c:v>18-01-2024</c:v>
                </c:pt>
                <c:pt idx="18">
                  <c:v>19-01-2024</c:v>
                </c:pt>
                <c:pt idx="19">
                  <c:v>20-01-2024</c:v>
                </c:pt>
                <c:pt idx="20">
                  <c:v>21-01-2024</c:v>
                </c:pt>
                <c:pt idx="21">
                  <c:v>22-01-2024</c:v>
                </c:pt>
                <c:pt idx="22">
                  <c:v>23-01-2024</c:v>
                </c:pt>
                <c:pt idx="23">
                  <c:v>24-01-2024</c:v>
                </c:pt>
                <c:pt idx="24">
                  <c:v>25-01-2024</c:v>
                </c:pt>
                <c:pt idx="25">
                  <c:v>26-01-2024</c:v>
                </c:pt>
                <c:pt idx="26">
                  <c:v>27-01-2024</c:v>
                </c:pt>
                <c:pt idx="27">
                  <c:v>28-01-2024</c:v>
                </c:pt>
                <c:pt idx="28">
                  <c:v>29-01-2024</c:v>
                </c:pt>
                <c:pt idx="29">
                  <c:v>30-01-2024</c:v>
                </c:pt>
                <c:pt idx="30">
                  <c:v>31-01-2024</c:v>
                </c:pt>
                <c:pt idx="31">
                  <c:v>01-02-2024</c:v>
                </c:pt>
                <c:pt idx="32">
                  <c:v>02-02-2024</c:v>
                </c:pt>
                <c:pt idx="33">
                  <c:v>03-02-2024</c:v>
                </c:pt>
                <c:pt idx="34">
                  <c:v>04-02-2024</c:v>
                </c:pt>
                <c:pt idx="35">
                  <c:v>05-02-2024</c:v>
                </c:pt>
                <c:pt idx="36">
                  <c:v>06-02-2024</c:v>
                </c:pt>
                <c:pt idx="37">
                  <c:v>07-02-2024</c:v>
                </c:pt>
                <c:pt idx="38">
                  <c:v>08-02-2024</c:v>
                </c:pt>
                <c:pt idx="39">
                  <c:v>09-02-2024</c:v>
                </c:pt>
                <c:pt idx="40">
                  <c:v>10-02-2024</c:v>
                </c:pt>
                <c:pt idx="41">
                  <c:v>11-02-2024</c:v>
                </c:pt>
                <c:pt idx="42">
                  <c:v>12-02-2024</c:v>
                </c:pt>
                <c:pt idx="43">
                  <c:v>13-02-2024</c:v>
                </c:pt>
                <c:pt idx="44">
                  <c:v>14-02-2024</c:v>
                </c:pt>
                <c:pt idx="45">
                  <c:v>15-02-2024</c:v>
                </c:pt>
                <c:pt idx="46">
                  <c:v>16-02-2024</c:v>
                </c:pt>
                <c:pt idx="47">
                  <c:v>17-02-2024</c:v>
                </c:pt>
                <c:pt idx="48">
                  <c:v>18-02-2024</c:v>
                </c:pt>
                <c:pt idx="49">
                  <c:v>19-02-2024</c:v>
                </c:pt>
                <c:pt idx="50">
                  <c:v>20-02-2024</c:v>
                </c:pt>
                <c:pt idx="51">
                  <c:v>21-02-2024</c:v>
                </c:pt>
                <c:pt idx="52">
                  <c:v>22-02-2024</c:v>
                </c:pt>
                <c:pt idx="53">
                  <c:v>23-02-2024</c:v>
                </c:pt>
                <c:pt idx="54">
                  <c:v>24-02-2024</c:v>
                </c:pt>
                <c:pt idx="55">
                  <c:v>25-02-2024</c:v>
                </c:pt>
                <c:pt idx="56">
                  <c:v>26-02-2024</c:v>
                </c:pt>
                <c:pt idx="57">
                  <c:v>27-02-2024</c:v>
                </c:pt>
                <c:pt idx="58">
                  <c:v>28-02-2024</c:v>
                </c:pt>
                <c:pt idx="59">
                  <c:v>29-02-2024</c:v>
                </c:pt>
                <c:pt idx="60">
                  <c:v>01-03-2024</c:v>
                </c:pt>
                <c:pt idx="61">
                  <c:v>02-03-2024</c:v>
                </c:pt>
                <c:pt idx="62">
                  <c:v>03-03-2024</c:v>
                </c:pt>
                <c:pt idx="63">
                  <c:v>04-03-2024</c:v>
                </c:pt>
                <c:pt idx="64">
                  <c:v>05-03-2024</c:v>
                </c:pt>
                <c:pt idx="65">
                  <c:v>06-03-2024</c:v>
                </c:pt>
                <c:pt idx="66">
                  <c:v>07-03-2024</c:v>
                </c:pt>
                <c:pt idx="67">
                  <c:v>08-03-2024</c:v>
                </c:pt>
                <c:pt idx="68">
                  <c:v>09-03-2024</c:v>
                </c:pt>
                <c:pt idx="69">
                  <c:v>10-03-2024</c:v>
                </c:pt>
                <c:pt idx="70">
                  <c:v>11-03-2024</c:v>
                </c:pt>
                <c:pt idx="71">
                  <c:v>12-03-2024</c:v>
                </c:pt>
                <c:pt idx="72">
                  <c:v>13-03-2024</c:v>
                </c:pt>
                <c:pt idx="73">
                  <c:v>14-03-2024</c:v>
                </c:pt>
                <c:pt idx="74">
                  <c:v>15-03-2024</c:v>
                </c:pt>
                <c:pt idx="75">
                  <c:v>16-03-2024</c:v>
                </c:pt>
                <c:pt idx="76">
                  <c:v>17-03-2024</c:v>
                </c:pt>
                <c:pt idx="77">
                  <c:v>18-03-2024</c:v>
                </c:pt>
                <c:pt idx="78">
                  <c:v>19-03-2024</c:v>
                </c:pt>
                <c:pt idx="79">
                  <c:v>20-03-2024</c:v>
                </c:pt>
                <c:pt idx="80">
                  <c:v>21-03-2024</c:v>
                </c:pt>
                <c:pt idx="81">
                  <c:v>22-03-2024</c:v>
                </c:pt>
                <c:pt idx="82">
                  <c:v>23-03-2024</c:v>
                </c:pt>
                <c:pt idx="83">
                  <c:v>24-03-2024</c:v>
                </c:pt>
                <c:pt idx="84">
                  <c:v>25-03-2024</c:v>
                </c:pt>
                <c:pt idx="85">
                  <c:v>26-03-2024</c:v>
                </c:pt>
                <c:pt idx="86">
                  <c:v>27-03-2024</c:v>
                </c:pt>
                <c:pt idx="87">
                  <c:v>28-03-2024</c:v>
                </c:pt>
                <c:pt idx="88">
                  <c:v>29-03-2024</c:v>
                </c:pt>
                <c:pt idx="89">
                  <c:v>30-03-2024</c:v>
                </c:pt>
                <c:pt idx="90">
                  <c:v>31-03-2024</c:v>
                </c:pt>
                <c:pt idx="91">
                  <c:v>01-04-2024</c:v>
                </c:pt>
                <c:pt idx="92">
                  <c:v>02-04-2024</c:v>
                </c:pt>
                <c:pt idx="93">
                  <c:v>03-04-2024</c:v>
                </c:pt>
                <c:pt idx="94">
                  <c:v>04-04-2024</c:v>
                </c:pt>
                <c:pt idx="95">
                  <c:v>05-04-2024</c:v>
                </c:pt>
                <c:pt idx="96">
                  <c:v>06-04-2024</c:v>
                </c:pt>
                <c:pt idx="97">
                  <c:v>07-04-2024</c:v>
                </c:pt>
                <c:pt idx="98">
                  <c:v>08-04-2024</c:v>
                </c:pt>
                <c:pt idx="99">
                  <c:v>09-04-2024</c:v>
                </c:pt>
                <c:pt idx="100">
                  <c:v>10-04-2024</c:v>
                </c:pt>
                <c:pt idx="101">
                  <c:v>11-04-2024</c:v>
                </c:pt>
                <c:pt idx="102">
                  <c:v>12-04-2024</c:v>
                </c:pt>
                <c:pt idx="103">
                  <c:v>13-04-2024</c:v>
                </c:pt>
                <c:pt idx="104">
                  <c:v>14-04-2024</c:v>
                </c:pt>
                <c:pt idx="105">
                  <c:v>15-04-2024</c:v>
                </c:pt>
                <c:pt idx="106">
                  <c:v>16-04-2024</c:v>
                </c:pt>
                <c:pt idx="107">
                  <c:v>17-04-2024</c:v>
                </c:pt>
                <c:pt idx="108">
                  <c:v>18-04-2024</c:v>
                </c:pt>
                <c:pt idx="109">
                  <c:v>19-04-2024</c:v>
                </c:pt>
                <c:pt idx="110">
                  <c:v>20-04-2024</c:v>
                </c:pt>
                <c:pt idx="111">
                  <c:v>21-04-2024</c:v>
                </c:pt>
                <c:pt idx="112">
                  <c:v>22-04-2024</c:v>
                </c:pt>
                <c:pt idx="113">
                  <c:v>23-04-2024</c:v>
                </c:pt>
                <c:pt idx="114">
                  <c:v>24-04-2024</c:v>
                </c:pt>
                <c:pt idx="115">
                  <c:v>25-04-2024</c:v>
                </c:pt>
                <c:pt idx="116">
                  <c:v>26-04-2024</c:v>
                </c:pt>
                <c:pt idx="117">
                  <c:v>27-04-2024</c:v>
                </c:pt>
                <c:pt idx="118">
                  <c:v>28-04-2024</c:v>
                </c:pt>
                <c:pt idx="119">
                  <c:v>29-04-2024</c:v>
                </c:pt>
                <c:pt idx="120">
                  <c:v>30-04-2024</c:v>
                </c:pt>
                <c:pt idx="121">
                  <c:v>01-05-2024</c:v>
                </c:pt>
                <c:pt idx="122">
                  <c:v>02-05-2024</c:v>
                </c:pt>
                <c:pt idx="123">
                  <c:v>03-05-2024</c:v>
                </c:pt>
                <c:pt idx="124">
                  <c:v>04-05-2024</c:v>
                </c:pt>
                <c:pt idx="125">
                  <c:v>05-05-2024</c:v>
                </c:pt>
                <c:pt idx="126">
                  <c:v>06-05-2024</c:v>
                </c:pt>
                <c:pt idx="127">
                  <c:v>07-05-2024</c:v>
                </c:pt>
                <c:pt idx="128">
                  <c:v>08-05-2024</c:v>
                </c:pt>
                <c:pt idx="129">
                  <c:v>09-05-2024</c:v>
                </c:pt>
                <c:pt idx="130">
                  <c:v>10-05-2024</c:v>
                </c:pt>
                <c:pt idx="131">
                  <c:v>11-05-2024</c:v>
                </c:pt>
                <c:pt idx="132">
                  <c:v>12-05-2024</c:v>
                </c:pt>
                <c:pt idx="133">
                  <c:v>13-05-2024</c:v>
                </c:pt>
                <c:pt idx="134">
                  <c:v>14-05-2024</c:v>
                </c:pt>
                <c:pt idx="135">
                  <c:v>15-05-2024</c:v>
                </c:pt>
                <c:pt idx="136">
                  <c:v>16-05-2024</c:v>
                </c:pt>
                <c:pt idx="137">
                  <c:v>17-05-2024</c:v>
                </c:pt>
                <c:pt idx="138">
                  <c:v>18-05-2024</c:v>
                </c:pt>
                <c:pt idx="139">
                  <c:v>19-05-2024</c:v>
                </c:pt>
                <c:pt idx="140">
                  <c:v>20-05-2024</c:v>
                </c:pt>
                <c:pt idx="141">
                  <c:v>21-05-2024</c:v>
                </c:pt>
                <c:pt idx="142">
                  <c:v>22-05-2024</c:v>
                </c:pt>
                <c:pt idx="143">
                  <c:v>23-05-2024</c:v>
                </c:pt>
                <c:pt idx="144">
                  <c:v>24-05-2024</c:v>
                </c:pt>
                <c:pt idx="145">
                  <c:v>25-05-2024</c:v>
                </c:pt>
                <c:pt idx="146">
                  <c:v>26-05-2024</c:v>
                </c:pt>
                <c:pt idx="147">
                  <c:v>27-05-2024</c:v>
                </c:pt>
                <c:pt idx="148">
                  <c:v>28-05-2024</c:v>
                </c:pt>
                <c:pt idx="149">
                  <c:v>29-05-2024</c:v>
                </c:pt>
                <c:pt idx="150">
                  <c:v>30-05-2024</c:v>
                </c:pt>
                <c:pt idx="151">
                  <c:v>31-05-2024</c:v>
                </c:pt>
                <c:pt idx="152">
                  <c:v>01-06-2024</c:v>
                </c:pt>
                <c:pt idx="153">
                  <c:v>02-06-2024</c:v>
                </c:pt>
                <c:pt idx="154">
                  <c:v>03-06-2024</c:v>
                </c:pt>
                <c:pt idx="155">
                  <c:v>04-06-2024</c:v>
                </c:pt>
                <c:pt idx="156">
                  <c:v>05-06-2024</c:v>
                </c:pt>
                <c:pt idx="157">
                  <c:v>06-06-2024</c:v>
                </c:pt>
                <c:pt idx="158">
                  <c:v>07-06-2024</c:v>
                </c:pt>
                <c:pt idx="159">
                  <c:v>08-06-2024</c:v>
                </c:pt>
                <c:pt idx="160">
                  <c:v>09-06-2024</c:v>
                </c:pt>
                <c:pt idx="161">
                  <c:v>10-06-2024</c:v>
                </c:pt>
                <c:pt idx="162">
                  <c:v>11-06-2024</c:v>
                </c:pt>
                <c:pt idx="163">
                  <c:v>12-06-2024</c:v>
                </c:pt>
                <c:pt idx="164">
                  <c:v>13-06-2024</c:v>
                </c:pt>
                <c:pt idx="165">
                  <c:v>14-06-2024</c:v>
                </c:pt>
                <c:pt idx="166">
                  <c:v>15-06-2024</c:v>
                </c:pt>
                <c:pt idx="167">
                  <c:v>16-06-2024</c:v>
                </c:pt>
                <c:pt idx="168">
                  <c:v>17-06-2024</c:v>
                </c:pt>
                <c:pt idx="169">
                  <c:v>18-06-2024</c:v>
                </c:pt>
                <c:pt idx="170">
                  <c:v>19-06-2024</c:v>
                </c:pt>
                <c:pt idx="171">
                  <c:v>20-06-2024</c:v>
                </c:pt>
                <c:pt idx="172">
                  <c:v>21-06-2024</c:v>
                </c:pt>
                <c:pt idx="173">
                  <c:v>22-06-2024</c:v>
                </c:pt>
                <c:pt idx="174">
                  <c:v>23-06-2024</c:v>
                </c:pt>
                <c:pt idx="175">
                  <c:v>24-06-2024</c:v>
                </c:pt>
                <c:pt idx="176">
                  <c:v>25-06-2024</c:v>
                </c:pt>
                <c:pt idx="177">
                  <c:v>26-06-2024</c:v>
                </c:pt>
                <c:pt idx="178">
                  <c:v>27-06-2024</c:v>
                </c:pt>
                <c:pt idx="179">
                  <c:v>28-06-2024</c:v>
                </c:pt>
                <c:pt idx="180">
                  <c:v>29-06-2024</c:v>
                </c:pt>
                <c:pt idx="181">
                  <c:v>30-06-2024</c:v>
                </c:pt>
                <c:pt idx="182">
                  <c:v>01-07-2024</c:v>
                </c:pt>
                <c:pt idx="183">
                  <c:v>02-07-2024</c:v>
                </c:pt>
                <c:pt idx="184">
                  <c:v>03-07-2024</c:v>
                </c:pt>
                <c:pt idx="185">
                  <c:v>04-07-2024</c:v>
                </c:pt>
                <c:pt idx="186">
                  <c:v>05-07-2024</c:v>
                </c:pt>
                <c:pt idx="187">
                  <c:v>06-07-2024</c:v>
                </c:pt>
                <c:pt idx="188">
                  <c:v>07-07-2024</c:v>
                </c:pt>
                <c:pt idx="189">
                  <c:v>08-07-2024</c:v>
                </c:pt>
                <c:pt idx="190">
                  <c:v>09-07-2024</c:v>
                </c:pt>
                <c:pt idx="191">
                  <c:v>10-07-2024</c:v>
                </c:pt>
                <c:pt idx="192">
                  <c:v>11-07-2024</c:v>
                </c:pt>
                <c:pt idx="193">
                  <c:v>12-07-2024</c:v>
                </c:pt>
                <c:pt idx="194">
                  <c:v>13-07-2024</c:v>
                </c:pt>
                <c:pt idx="195">
                  <c:v>14-07-2024</c:v>
                </c:pt>
                <c:pt idx="196">
                  <c:v>15-07-2024</c:v>
                </c:pt>
                <c:pt idx="197">
                  <c:v>16-07-2024</c:v>
                </c:pt>
                <c:pt idx="198">
                  <c:v>17-07-2024</c:v>
                </c:pt>
                <c:pt idx="199">
                  <c:v>18-07-2024</c:v>
                </c:pt>
                <c:pt idx="200">
                  <c:v>19-07-2024</c:v>
                </c:pt>
                <c:pt idx="201">
                  <c:v>20-07-2024</c:v>
                </c:pt>
                <c:pt idx="202">
                  <c:v>21-07-2024</c:v>
                </c:pt>
                <c:pt idx="203">
                  <c:v>22-07-2024</c:v>
                </c:pt>
                <c:pt idx="204">
                  <c:v>23-07-2024</c:v>
                </c:pt>
                <c:pt idx="205">
                  <c:v>24-07-2024</c:v>
                </c:pt>
                <c:pt idx="206">
                  <c:v>25-07-2024</c:v>
                </c:pt>
                <c:pt idx="207">
                  <c:v>26-07-2024</c:v>
                </c:pt>
                <c:pt idx="208">
                  <c:v>27-07-2024</c:v>
                </c:pt>
                <c:pt idx="209">
                  <c:v>28-07-2024</c:v>
                </c:pt>
                <c:pt idx="210">
                  <c:v>29-07-2024</c:v>
                </c:pt>
                <c:pt idx="211">
                  <c:v>30-07-2024</c:v>
                </c:pt>
                <c:pt idx="212">
                  <c:v>31-07-2024</c:v>
                </c:pt>
                <c:pt idx="213">
                  <c:v>01-08-2024</c:v>
                </c:pt>
                <c:pt idx="214">
                  <c:v>02-08-2024</c:v>
                </c:pt>
                <c:pt idx="215">
                  <c:v>03-08-2024</c:v>
                </c:pt>
                <c:pt idx="216">
                  <c:v>04-08-2024</c:v>
                </c:pt>
                <c:pt idx="217">
                  <c:v>05-08-2024</c:v>
                </c:pt>
                <c:pt idx="218">
                  <c:v>06-08-2024</c:v>
                </c:pt>
                <c:pt idx="219">
                  <c:v>07-08-2024</c:v>
                </c:pt>
                <c:pt idx="220">
                  <c:v>08-08-2024</c:v>
                </c:pt>
                <c:pt idx="221">
                  <c:v>09-08-2024</c:v>
                </c:pt>
                <c:pt idx="222">
                  <c:v>10-08-2024</c:v>
                </c:pt>
                <c:pt idx="223">
                  <c:v>11-08-2024</c:v>
                </c:pt>
                <c:pt idx="224">
                  <c:v>12-08-2024</c:v>
                </c:pt>
                <c:pt idx="225">
                  <c:v>13-08-2024</c:v>
                </c:pt>
                <c:pt idx="226">
                  <c:v>14-08-2024</c:v>
                </c:pt>
                <c:pt idx="227">
                  <c:v>15-08-2024</c:v>
                </c:pt>
                <c:pt idx="228">
                  <c:v>16-08-2024</c:v>
                </c:pt>
                <c:pt idx="229">
                  <c:v>17-08-2024</c:v>
                </c:pt>
                <c:pt idx="230">
                  <c:v>18-08-2024</c:v>
                </c:pt>
                <c:pt idx="231">
                  <c:v>19-08-2024</c:v>
                </c:pt>
                <c:pt idx="232">
                  <c:v>20-08-2024</c:v>
                </c:pt>
                <c:pt idx="233">
                  <c:v>21-08-2024</c:v>
                </c:pt>
                <c:pt idx="234">
                  <c:v>22-08-2024</c:v>
                </c:pt>
                <c:pt idx="235">
                  <c:v>23-08-2024</c:v>
                </c:pt>
                <c:pt idx="236">
                  <c:v>24-08-2024</c:v>
                </c:pt>
                <c:pt idx="237">
                  <c:v>25-08-2024</c:v>
                </c:pt>
                <c:pt idx="238">
                  <c:v>26-08-2024</c:v>
                </c:pt>
                <c:pt idx="239">
                  <c:v>27-08-2024</c:v>
                </c:pt>
                <c:pt idx="240">
                  <c:v>28-08-2024</c:v>
                </c:pt>
                <c:pt idx="241">
                  <c:v>29-08-2024</c:v>
                </c:pt>
                <c:pt idx="242">
                  <c:v>30-08-2024</c:v>
                </c:pt>
                <c:pt idx="243">
                  <c:v>31-08-2024</c:v>
                </c:pt>
                <c:pt idx="244">
                  <c:v>01-09-2024</c:v>
                </c:pt>
                <c:pt idx="245">
                  <c:v>02-09-2024</c:v>
                </c:pt>
                <c:pt idx="246">
                  <c:v>03-09-2024</c:v>
                </c:pt>
                <c:pt idx="247">
                  <c:v>04-09-2024</c:v>
                </c:pt>
                <c:pt idx="248">
                  <c:v>05-09-2024</c:v>
                </c:pt>
                <c:pt idx="249">
                  <c:v>06-09-2024</c:v>
                </c:pt>
                <c:pt idx="250">
                  <c:v>07-09-2024</c:v>
                </c:pt>
                <c:pt idx="251">
                  <c:v>08-09-2024</c:v>
                </c:pt>
                <c:pt idx="252">
                  <c:v>09-09-2024</c:v>
                </c:pt>
                <c:pt idx="253">
                  <c:v>10-09-2024</c:v>
                </c:pt>
                <c:pt idx="254">
                  <c:v>11-09-2024</c:v>
                </c:pt>
                <c:pt idx="255">
                  <c:v>12-09-2024</c:v>
                </c:pt>
                <c:pt idx="256">
                  <c:v>13-09-2024</c:v>
                </c:pt>
                <c:pt idx="257">
                  <c:v>14-09-2024</c:v>
                </c:pt>
                <c:pt idx="258">
                  <c:v>15-09-2024</c:v>
                </c:pt>
                <c:pt idx="259">
                  <c:v>16-09-2024</c:v>
                </c:pt>
                <c:pt idx="260">
                  <c:v>17-09-2024</c:v>
                </c:pt>
                <c:pt idx="261">
                  <c:v>18-09-2024</c:v>
                </c:pt>
                <c:pt idx="262">
                  <c:v>19-09-2024</c:v>
                </c:pt>
                <c:pt idx="263">
                  <c:v>20-09-2024</c:v>
                </c:pt>
                <c:pt idx="264">
                  <c:v>21-09-2024</c:v>
                </c:pt>
                <c:pt idx="265">
                  <c:v>22-09-2024</c:v>
                </c:pt>
                <c:pt idx="266">
                  <c:v>23-09-2024</c:v>
                </c:pt>
                <c:pt idx="267">
                  <c:v>24-09-2024</c:v>
                </c:pt>
                <c:pt idx="268">
                  <c:v>25-09-2024</c:v>
                </c:pt>
                <c:pt idx="269">
                  <c:v>26-09-2024</c:v>
                </c:pt>
                <c:pt idx="270">
                  <c:v>27-09-2024</c:v>
                </c:pt>
                <c:pt idx="271">
                  <c:v>28-09-2024</c:v>
                </c:pt>
                <c:pt idx="272">
                  <c:v>29-09-2024</c:v>
                </c:pt>
                <c:pt idx="273">
                  <c:v>30-09-2024</c:v>
                </c:pt>
                <c:pt idx="274">
                  <c:v>01-10-2024</c:v>
                </c:pt>
                <c:pt idx="275">
                  <c:v>02-10-2024</c:v>
                </c:pt>
                <c:pt idx="276">
                  <c:v>03-10-2024</c:v>
                </c:pt>
                <c:pt idx="277">
                  <c:v>04-10-2024</c:v>
                </c:pt>
                <c:pt idx="278">
                  <c:v>05-10-2024</c:v>
                </c:pt>
                <c:pt idx="279">
                  <c:v>06-10-2024</c:v>
                </c:pt>
                <c:pt idx="280">
                  <c:v>07-10-2024</c:v>
                </c:pt>
                <c:pt idx="281">
                  <c:v>08-10-2024</c:v>
                </c:pt>
                <c:pt idx="282">
                  <c:v>09-10-2024</c:v>
                </c:pt>
                <c:pt idx="283">
                  <c:v>10-10-2024</c:v>
                </c:pt>
                <c:pt idx="284">
                  <c:v>11-10-2024</c:v>
                </c:pt>
                <c:pt idx="285">
                  <c:v>12-10-2024</c:v>
                </c:pt>
                <c:pt idx="286">
                  <c:v>13-10-2024</c:v>
                </c:pt>
                <c:pt idx="287">
                  <c:v>14-10-2024</c:v>
                </c:pt>
                <c:pt idx="288">
                  <c:v>15-10-2024</c:v>
                </c:pt>
                <c:pt idx="289">
                  <c:v>16-10-2024</c:v>
                </c:pt>
                <c:pt idx="290">
                  <c:v>17-10-2024</c:v>
                </c:pt>
                <c:pt idx="291">
                  <c:v>18-10-2024</c:v>
                </c:pt>
                <c:pt idx="292">
                  <c:v>19-10-2024</c:v>
                </c:pt>
                <c:pt idx="293">
                  <c:v>20-10-2024</c:v>
                </c:pt>
                <c:pt idx="294">
                  <c:v>21-10-2024</c:v>
                </c:pt>
                <c:pt idx="295">
                  <c:v>22-10-2024</c:v>
                </c:pt>
                <c:pt idx="296">
                  <c:v>23-10-2024</c:v>
                </c:pt>
                <c:pt idx="297">
                  <c:v>24-10-2024</c:v>
                </c:pt>
                <c:pt idx="298">
                  <c:v>25-10-2024</c:v>
                </c:pt>
                <c:pt idx="299">
                  <c:v>26-10-2024</c:v>
                </c:pt>
              </c:strCache>
            </c:strRef>
          </c:cat>
          <c:val>
            <c:numRef>
              <c:f>Sales_Trend!$B$4:$B$304</c:f>
              <c:numCache>
                <c:formatCode>"₹"\ #,##0.00</c:formatCode>
                <c:ptCount val="300"/>
                <c:pt idx="0">
                  <c:v>518508</c:v>
                </c:pt>
                <c:pt idx="1">
                  <c:v>143584</c:v>
                </c:pt>
                <c:pt idx="2">
                  <c:v>27372</c:v>
                </c:pt>
                <c:pt idx="3">
                  <c:v>16524</c:v>
                </c:pt>
                <c:pt idx="4">
                  <c:v>2856</c:v>
                </c:pt>
                <c:pt idx="5">
                  <c:v>288425</c:v>
                </c:pt>
                <c:pt idx="6">
                  <c:v>22481</c:v>
                </c:pt>
                <c:pt idx="7">
                  <c:v>30126</c:v>
                </c:pt>
                <c:pt idx="8">
                  <c:v>10322</c:v>
                </c:pt>
                <c:pt idx="9">
                  <c:v>1827</c:v>
                </c:pt>
                <c:pt idx="10">
                  <c:v>91976</c:v>
                </c:pt>
                <c:pt idx="11">
                  <c:v>81432</c:v>
                </c:pt>
                <c:pt idx="12">
                  <c:v>28760</c:v>
                </c:pt>
                <c:pt idx="13">
                  <c:v>26625</c:v>
                </c:pt>
                <c:pt idx="14">
                  <c:v>13536</c:v>
                </c:pt>
                <c:pt idx="15">
                  <c:v>334355</c:v>
                </c:pt>
                <c:pt idx="16">
                  <c:v>168192</c:v>
                </c:pt>
                <c:pt idx="17">
                  <c:v>43812</c:v>
                </c:pt>
                <c:pt idx="18">
                  <c:v>95830</c:v>
                </c:pt>
                <c:pt idx="19">
                  <c:v>2482</c:v>
                </c:pt>
                <c:pt idx="20">
                  <c:v>105402</c:v>
                </c:pt>
                <c:pt idx="21">
                  <c:v>65940</c:v>
                </c:pt>
                <c:pt idx="22">
                  <c:v>31996</c:v>
                </c:pt>
                <c:pt idx="23">
                  <c:v>22210</c:v>
                </c:pt>
                <c:pt idx="24">
                  <c:v>12042</c:v>
                </c:pt>
                <c:pt idx="25">
                  <c:v>332535</c:v>
                </c:pt>
                <c:pt idx="26">
                  <c:v>219256</c:v>
                </c:pt>
                <c:pt idx="27">
                  <c:v>59283</c:v>
                </c:pt>
                <c:pt idx="28">
                  <c:v>37680</c:v>
                </c:pt>
                <c:pt idx="29">
                  <c:v>864</c:v>
                </c:pt>
                <c:pt idx="30">
                  <c:v>88272</c:v>
                </c:pt>
                <c:pt idx="31">
                  <c:v>60222</c:v>
                </c:pt>
                <c:pt idx="32">
                  <c:v>19868</c:v>
                </c:pt>
                <c:pt idx="33">
                  <c:v>48100</c:v>
                </c:pt>
                <c:pt idx="34">
                  <c:v>8148</c:v>
                </c:pt>
                <c:pt idx="35">
                  <c:v>360220</c:v>
                </c:pt>
                <c:pt idx="36">
                  <c:v>169152</c:v>
                </c:pt>
                <c:pt idx="37">
                  <c:v>99027</c:v>
                </c:pt>
                <c:pt idx="38">
                  <c:v>92700</c:v>
                </c:pt>
                <c:pt idx="39">
                  <c:v>1646</c:v>
                </c:pt>
                <c:pt idx="40">
                  <c:v>159801</c:v>
                </c:pt>
                <c:pt idx="41">
                  <c:v>85164</c:v>
                </c:pt>
                <c:pt idx="42">
                  <c:v>34660</c:v>
                </c:pt>
                <c:pt idx="43">
                  <c:v>38358</c:v>
                </c:pt>
                <c:pt idx="44">
                  <c:v>13209</c:v>
                </c:pt>
                <c:pt idx="45">
                  <c:v>348968</c:v>
                </c:pt>
                <c:pt idx="46">
                  <c:v>201798</c:v>
                </c:pt>
                <c:pt idx="47">
                  <c:v>40688</c:v>
                </c:pt>
                <c:pt idx="48">
                  <c:v>57285</c:v>
                </c:pt>
                <c:pt idx="49">
                  <c:v>12894</c:v>
                </c:pt>
                <c:pt idx="50">
                  <c:v>377608</c:v>
                </c:pt>
                <c:pt idx="51">
                  <c:v>226760</c:v>
                </c:pt>
                <c:pt idx="52">
                  <c:v>46269</c:v>
                </c:pt>
                <c:pt idx="53">
                  <c:v>79730</c:v>
                </c:pt>
                <c:pt idx="54">
                  <c:v>14113</c:v>
                </c:pt>
                <c:pt idx="55">
                  <c:v>51899</c:v>
                </c:pt>
                <c:pt idx="56">
                  <c:v>51476</c:v>
                </c:pt>
                <c:pt idx="57">
                  <c:v>24156</c:v>
                </c:pt>
                <c:pt idx="58">
                  <c:v>44988</c:v>
                </c:pt>
                <c:pt idx="59">
                  <c:v>8290</c:v>
                </c:pt>
                <c:pt idx="60">
                  <c:v>310440</c:v>
                </c:pt>
                <c:pt idx="61">
                  <c:v>202993</c:v>
                </c:pt>
                <c:pt idx="62">
                  <c:v>76592</c:v>
                </c:pt>
                <c:pt idx="63">
                  <c:v>83853</c:v>
                </c:pt>
                <c:pt idx="64">
                  <c:v>8060</c:v>
                </c:pt>
                <c:pt idx="65">
                  <c:v>604274</c:v>
                </c:pt>
                <c:pt idx="66">
                  <c:v>258816</c:v>
                </c:pt>
                <c:pt idx="67">
                  <c:v>107783</c:v>
                </c:pt>
                <c:pt idx="68">
                  <c:v>48650</c:v>
                </c:pt>
                <c:pt idx="69">
                  <c:v>20730</c:v>
                </c:pt>
                <c:pt idx="70">
                  <c:v>162816</c:v>
                </c:pt>
                <c:pt idx="71">
                  <c:v>82820</c:v>
                </c:pt>
                <c:pt idx="72">
                  <c:v>24055</c:v>
                </c:pt>
                <c:pt idx="73">
                  <c:v>62682</c:v>
                </c:pt>
                <c:pt idx="74">
                  <c:v>11767</c:v>
                </c:pt>
                <c:pt idx="75">
                  <c:v>351600</c:v>
                </c:pt>
                <c:pt idx="76">
                  <c:v>160947</c:v>
                </c:pt>
                <c:pt idx="77">
                  <c:v>8095</c:v>
                </c:pt>
                <c:pt idx="78">
                  <c:v>16956</c:v>
                </c:pt>
                <c:pt idx="79">
                  <c:v>5109</c:v>
                </c:pt>
                <c:pt idx="80">
                  <c:v>212604</c:v>
                </c:pt>
                <c:pt idx="81">
                  <c:v>116750</c:v>
                </c:pt>
                <c:pt idx="82">
                  <c:v>38605</c:v>
                </c:pt>
                <c:pt idx="83">
                  <c:v>38190</c:v>
                </c:pt>
                <c:pt idx="84">
                  <c:v>17780</c:v>
                </c:pt>
                <c:pt idx="85">
                  <c:v>406624</c:v>
                </c:pt>
                <c:pt idx="86">
                  <c:v>103484</c:v>
                </c:pt>
                <c:pt idx="87">
                  <c:v>28827</c:v>
                </c:pt>
                <c:pt idx="88">
                  <c:v>43520</c:v>
                </c:pt>
                <c:pt idx="89">
                  <c:v>11802</c:v>
                </c:pt>
                <c:pt idx="90">
                  <c:v>125142</c:v>
                </c:pt>
                <c:pt idx="91">
                  <c:v>91845</c:v>
                </c:pt>
                <c:pt idx="92">
                  <c:v>33909</c:v>
                </c:pt>
                <c:pt idx="93">
                  <c:v>10320</c:v>
                </c:pt>
                <c:pt idx="94">
                  <c:v>3408</c:v>
                </c:pt>
                <c:pt idx="95">
                  <c:v>145419</c:v>
                </c:pt>
                <c:pt idx="96">
                  <c:v>107780</c:v>
                </c:pt>
                <c:pt idx="97">
                  <c:v>28848</c:v>
                </c:pt>
                <c:pt idx="98">
                  <c:v>34125</c:v>
                </c:pt>
                <c:pt idx="99">
                  <c:v>8634</c:v>
                </c:pt>
                <c:pt idx="100">
                  <c:v>341565</c:v>
                </c:pt>
                <c:pt idx="101">
                  <c:v>124936</c:v>
                </c:pt>
                <c:pt idx="102">
                  <c:v>17307</c:v>
                </c:pt>
                <c:pt idx="103">
                  <c:v>34353</c:v>
                </c:pt>
                <c:pt idx="104">
                  <c:v>4070</c:v>
                </c:pt>
                <c:pt idx="105">
                  <c:v>142086</c:v>
                </c:pt>
                <c:pt idx="106">
                  <c:v>19579</c:v>
                </c:pt>
                <c:pt idx="107">
                  <c:v>8036</c:v>
                </c:pt>
                <c:pt idx="108">
                  <c:v>6936</c:v>
                </c:pt>
                <c:pt idx="109">
                  <c:v>3208</c:v>
                </c:pt>
                <c:pt idx="110">
                  <c:v>157419</c:v>
                </c:pt>
                <c:pt idx="111">
                  <c:v>93504</c:v>
                </c:pt>
                <c:pt idx="112">
                  <c:v>38628</c:v>
                </c:pt>
                <c:pt idx="113">
                  <c:v>42648</c:v>
                </c:pt>
                <c:pt idx="114">
                  <c:v>3220</c:v>
                </c:pt>
                <c:pt idx="115">
                  <c:v>521397</c:v>
                </c:pt>
                <c:pt idx="116">
                  <c:v>169911</c:v>
                </c:pt>
                <c:pt idx="117">
                  <c:v>15405</c:v>
                </c:pt>
                <c:pt idx="118">
                  <c:v>16796</c:v>
                </c:pt>
                <c:pt idx="119">
                  <c:v>8025</c:v>
                </c:pt>
                <c:pt idx="120">
                  <c:v>108922</c:v>
                </c:pt>
                <c:pt idx="121">
                  <c:v>37010</c:v>
                </c:pt>
                <c:pt idx="122">
                  <c:v>28182</c:v>
                </c:pt>
                <c:pt idx="123">
                  <c:v>34062</c:v>
                </c:pt>
                <c:pt idx="124">
                  <c:v>20928</c:v>
                </c:pt>
                <c:pt idx="125">
                  <c:v>474084</c:v>
                </c:pt>
                <c:pt idx="126">
                  <c:v>15702</c:v>
                </c:pt>
                <c:pt idx="127">
                  <c:v>15132</c:v>
                </c:pt>
                <c:pt idx="128">
                  <c:v>35484</c:v>
                </c:pt>
                <c:pt idx="129">
                  <c:v>14425</c:v>
                </c:pt>
                <c:pt idx="130">
                  <c:v>348474</c:v>
                </c:pt>
                <c:pt idx="131">
                  <c:v>116613</c:v>
                </c:pt>
                <c:pt idx="132">
                  <c:v>70432</c:v>
                </c:pt>
                <c:pt idx="133">
                  <c:v>89172</c:v>
                </c:pt>
                <c:pt idx="134">
                  <c:v>12090</c:v>
                </c:pt>
                <c:pt idx="135">
                  <c:v>41002</c:v>
                </c:pt>
                <c:pt idx="136">
                  <c:v>40830</c:v>
                </c:pt>
                <c:pt idx="137">
                  <c:v>12201</c:v>
                </c:pt>
                <c:pt idx="138">
                  <c:v>34712</c:v>
                </c:pt>
                <c:pt idx="139">
                  <c:v>11825</c:v>
                </c:pt>
                <c:pt idx="140">
                  <c:v>251370</c:v>
                </c:pt>
                <c:pt idx="141">
                  <c:v>198674</c:v>
                </c:pt>
                <c:pt idx="142">
                  <c:v>48536</c:v>
                </c:pt>
                <c:pt idx="143">
                  <c:v>16735</c:v>
                </c:pt>
                <c:pt idx="144">
                  <c:v>10800</c:v>
                </c:pt>
                <c:pt idx="145">
                  <c:v>286517</c:v>
                </c:pt>
                <c:pt idx="146">
                  <c:v>164944</c:v>
                </c:pt>
                <c:pt idx="147">
                  <c:v>103851</c:v>
                </c:pt>
                <c:pt idx="148">
                  <c:v>42870</c:v>
                </c:pt>
                <c:pt idx="149">
                  <c:v>2522</c:v>
                </c:pt>
                <c:pt idx="150">
                  <c:v>83080</c:v>
                </c:pt>
                <c:pt idx="151">
                  <c:v>56865</c:v>
                </c:pt>
                <c:pt idx="152">
                  <c:v>45088</c:v>
                </c:pt>
                <c:pt idx="153">
                  <c:v>42625</c:v>
                </c:pt>
                <c:pt idx="154">
                  <c:v>8634</c:v>
                </c:pt>
                <c:pt idx="155">
                  <c:v>322441</c:v>
                </c:pt>
                <c:pt idx="156">
                  <c:v>153312</c:v>
                </c:pt>
                <c:pt idx="157">
                  <c:v>36279</c:v>
                </c:pt>
                <c:pt idx="158">
                  <c:v>104460</c:v>
                </c:pt>
                <c:pt idx="159">
                  <c:v>2491</c:v>
                </c:pt>
                <c:pt idx="160">
                  <c:v>92080</c:v>
                </c:pt>
                <c:pt idx="161">
                  <c:v>87636</c:v>
                </c:pt>
                <c:pt idx="162">
                  <c:v>37984</c:v>
                </c:pt>
                <c:pt idx="163">
                  <c:v>22040</c:v>
                </c:pt>
                <c:pt idx="164">
                  <c:v>9972</c:v>
                </c:pt>
                <c:pt idx="165">
                  <c:v>348460</c:v>
                </c:pt>
                <c:pt idx="166">
                  <c:v>127088</c:v>
                </c:pt>
                <c:pt idx="167">
                  <c:v>28314</c:v>
                </c:pt>
                <c:pt idx="168">
                  <c:v>50320</c:v>
                </c:pt>
                <c:pt idx="169">
                  <c:v>26708</c:v>
                </c:pt>
                <c:pt idx="170">
                  <c:v>189704</c:v>
                </c:pt>
                <c:pt idx="171">
                  <c:v>100640</c:v>
                </c:pt>
                <c:pt idx="172">
                  <c:v>53010</c:v>
                </c:pt>
                <c:pt idx="173">
                  <c:v>58184</c:v>
                </c:pt>
                <c:pt idx="174">
                  <c:v>10544</c:v>
                </c:pt>
                <c:pt idx="175">
                  <c:v>389016</c:v>
                </c:pt>
                <c:pt idx="176">
                  <c:v>271380</c:v>
                </c:pt>
                <c:pt idx="177">
                  <c:v>10097</c:v>
                </c:pt>
                <c:pt idx="178">
                  <c:v>22666</c:v>
                </c:pt>
                <c:pt idx="179">
                  <c:v>5088</c:v>
                </c:pt>
                <c:pt idx="180">
                  <c:v>185204</c:v>
                </c:pt>
                <c:pt idx="181">
                  <c:v>128265</c:v>
                </c:pt>
                <c:pt idx="182">
                  <c:v>28314</c:v>
                </c:pt>
                <c:pt idx="183">
                  <c:v>44807</c:v>
                </c:pt>
                <c:pt idx="184">
                  <c:v>12488</c:v>
                </c:pt>
                <c:pt idx="185">
                  <c:v>369603</c:v>
                </c:pt>
                <c:pt idx="186">
                  <c:v>177910</c:v>
                </c:pt>
                <c:pt idx="187">
                  <c:v>18525</c:v>
                </c:pt>
                <c:pt idx="188">
                  <c:v>13704</c:v>
                </c:pt>
                <c:pt idx="189">
                  <c:v>6908</c:v>
                </c:pt>
                <c:pt idx="190">
                  <c:v>287270</c:v>
                </c:pt>
                <c:pt idx="191">
                  <c:v>141402</c:v>
                </c:pt>
                <c:pt idx="192">
                  <c:v>42770</c:v>
                </c:pt>
                <c:pt idx="193">
                  <c:v>10338</c:v>
                </c:pt>
                <c:pt idx="194">
                  <c:v>2523</c:v>
                </c:pt>
                <c:pt idx="195">
                  <c:v>212510</c:v>
                </c:pt>
                <c:pt idx="196">
                  <c:v>70068</c:v>
                </c:pt>
                <c:pt idx="197">
                  <c:v>22442</c:v>
                </c:pt>
                <c:pt idx="198">
                  <c:v>12291</c:v>
                </c:pt>
                <c:pt idx="199">
                  <c:v>1296</c:v>
                </c:pt>
                <c:pt idx="200">
                  <c:v>43148</c:v>
                </c:pt>
                <c:pt idx="201">
                  <c:v>27594</c:v>
                </c:pt>
                <c:pt idx="202">
                  <c:v>3046</c:v>
                </c:pt>
                <c:pt idx="203">
                  <c:v>9683</c:v>
                </c:pt>
                <c:pt idx="204">
                  <c:v>2637</c:v>
                </c:pt>
                <c:pt idx="205">
                  <c:v>56433</c:v>
                </c:pt>
                <c:pt idx="206">
                  <c:v>16943</c:v>
                </c:pt>
                <c:pt idx="207">
                  <c:v>5117</c:v>
                </c:pt>
                <c:pt idx="208">
                  <c:v>4673</c:v>
                </c:pt>
                <c:pt idx="209">
                  <c:v>3454</c:v>
                </c:pt>
                <c:pt idx="210">
                  <c:v>81232</c:v>
                </c:pt>
                <c:pt idx="211">
                  <c:v>56424</c:v>
                </c:pt>
                <c:pt idx="212">
                  <c:v>24759</c:v>
                </c:pt>
                <c:pt idx="213">
                  <c:v>40605</c:v>
                </c:pt>
                <c:pt idx="214">
                  <c:v>5465</c:v>
                </c:pt>
                <c:pt idx="215">
                  <c:v>264475</c:v>
                </c:pt>
                <c:pt idx="216">
                  <c:v>120468</c:v>
                </c:pt>
                <c:pt idx="217">
                  <c:v>14340</c:v>
                </c:pt>
                <c:pt idx="218">
                  <c:v>17670</c:v>
                </c:pt>
                <c:pt idx="219">
                  <c:v>3222</c:v>
                </c:pt>
                <c:pt idx="220">
                  <c:v>190440</c:v>
                </c:pt>
                <c:pt idx="221">
                  <c:v>112408</c:v>
                </c:pt>
                <c:pt idx="222">
                  <c:v>57022</c:v>
                </c:pt>
                <c:pt idx="223">
                  <c:v>21707</c:v>
                </c:pt>
                <c:pt idx="224">
                  <c:v>6855</c:v>
                </c:pt>
                <c:pt idx="225">
                  <c:v>434916</c:v>
                </c:pt>
                <c:pt idx="226">
                  <c:v>213776</c:v>
                </c:pt>
                <c:pt idx="227">
                  <c:v>55335</c:v>
                </c:pt>
                <c:pt idx="228">
                  <c:v>41598</c:v>
                </c:pt>
                <c:pt idx="229">
                  <c:v>2993</c:v>
                </c:pt>
                <c:pt idx="230">
                  <c:v>41721</c:v>
                </c:pt>
                <c:pt idx="231">
                  <c:v>72536</c:v>
                </c:pt>
                <c:pt idx="232">
                  <c:v>47450</c:v>
                </c:pt>
                <c:pt idx="233">
                  <c:v>24390</c:v>
                </c:pt>
                <c:pt idx="234">
                  <c:v>7028</c:v>
                </c:pt>
                <c:pt idx="235">
                  <c:v>168765</c:v>
                </c:pt>
                <c:pt idx="236">
                  <c:v>146736</c:v>
                </c:pt>
                <c:pt idx="237">
                  <c:v>102483</c:v>
                </c:pt>
                <c:pt idx="238">
                  <c:v>17005</c:v>
                </c:pt>
                <c:pt idx="239">
                  <c:v>12966</c:v>
                </c:pt>
                <c:pt idx="240">
                  <c:v>126600</c:v>
                </c:pt>
                <c:pt idx="241">
                  <c:v>71096</c:v>
                </c:pt>
                <c:pt idx="242">
                  <c:v>35580</c:v>
                </c:pt>
                <c:pt idx="243">
                  <c:v>55770</c:v>
                </c:pt>
                <c:pt idx="244">
                  <c:v>17458</c:v>
                </c:pt>
                <c:pt idx="245">
                  <c:v>142254</c:v>
                </c:pt>
                <c:pt idx="246">
                  <c:v>42970</c:v>
                </c:pt>
                <c:pt idx="247">
                  <c:v>28011</c:v>
                </c:pt>
                <c:pt idx="248">
                  <c:v>23064</c:v>
                </c:pt>
                <c:pt idx="249">
                  <c:v>1375</c:v>
                </c:pt>
                <c:pt idx="250">
                  <c:v>354361</c:v>
                </c:pt>
                <c:pt idx="251">
                  <c:v>159474</c:v>
                </c:pt>
                <c:pt idx="252">
                  <c:v>19590</c:v>
                </c:pt>
                <c:pt idx="253">
                  <c:v>31340</c:v>
                </c:pt>
                <c:pt idx="254">
                  <c:v>4034</c:v>
                </c:pt>
                <c:pt idx="255">
                  <c:v>516393</c:v>
                </c:pt>
                <c:pt idx="256">
                  <c:v>178164</c:v>
                </c:pt>
                <c:pt idx="257">
                  <c:v>56840</c:v>
                </c:pt>
                <c:pt idx="258">
                  <c:v>12876</c:v>
                </c:pt>
                <c:pt idx="259">
                  <c:v>2494</c:v>
                </c:pt>
                <c:pt idx="260">
                  <c:v>173655</c:v>
                </c:pt>
                <c:pt idx="261">
                  <c:v>98184</c:v>
                </c:pt>
                <c:pt idx="262">
                  <c:v>57492</c:v>
                </c:pt>
                <c:pt idx="263">
                  <c:v>8398</c:v>
                </c:pt>
                <c:pt idx="264">
                  <c:v>3954</c:v>
                </c:pt>
                <c:pt idx="265">
                  <c:v>163467</c:v>
                </c:pt>
                <c:pt idx="266">
                  <c:v>86688</c:v>
                </c:pt>
                <c:pt idx="267">
                  <c:v>70956</c:v>
                </c:pt>
                <c:pt idx="268">
                  <c:v>6523</c:v>
                </c:pt>
                <c:pt idx="269">
                  <c:v>4008</c:v>
                </c:pt>
                <c:pt idx="270">
                  <c:v>463096</c:v>
                </c:pt>
                <c:pt idx="271">
                  <c:v>204849</c:v>
                </c:pt>
                <c:pt idx="272">
                  <c:v>42836</c:v>
                </c:pt>
                <c:pt idx="273">
                  <c:v>19032</c:v>
                </c:pt>
                <c:pt idx="274">
                  <c:v>2708</c:v>
                </c:pt>
                <c:pt idx="275">
                  <c:v>87840</c:v>
                </c:pt>
                <c:pt idx="276">
                  <c:v>128565</c:v>
                </c:pt>
                <c:pt idx="277">
                  <c:v>43974</c:v>
                </c:pt>
                <c:pt idx="278">
                  <c:v>27265</c:v>
                </c:pt>
                <c:pt idx="279">
                  <c:v>12464</c:v>
                </c:pt>
                <c:pt idx="280">
                  <c:v>47134</c:v>
                </c:pt>
                <c:pt idx="281">
                  <c:v>44900</c:v>
                </c:pt>
                <c:pt idx="282">
                  <c:v>31599</c:v>
                </c:pt>
                <c:pt idx="283">
                  <c:v>24207</c:v>
                </c:pt>
                <c:pt idx="284">
                  <c:v>6984</c:v>
                </c:pt>
                <c:pt idx="285">
                  <c:v>357414</c:v>
                </c:pt>
                <c:pt idx="286">
                  <c:v>115340</c:v>
                </c:pt>
                <c:pt idx="287">
                  <c:v>56658</c:v>
                </c:pt>
                <c:pt idx="288">
                  <c:v>28992</c:v>
                </c:pt>
                <c:pt idx="289">
                  <c:v>10409</c:v>
                </c:pt>
                <c:pt idx="290">
                  <c:v>48808</c:v>
                </c:pt>
                <c:pt idx="291">
                  <c:v>22123</c:v>
                </c:pt>
                <c:pt idx="292">
                  <c:v>21366</c:v>
                </c:pt>
                <c:pt idx="293">
                  <c:v>8002</c:v>
                </c:pt>
                <c:pt idx="294">
                  <c:v>4938</c:v>
                </c:pt>
                <c:pt idx="295">
                  <c:v>136149</c:v>
                </c:pt>
                <c:pt idx="296">
                  <c:v>64146</c:v>
                </c:pt>
                <c:pt idx="297">
                  <c:v>9735</c:v>
                </c:pt>
                <c:pt idx="298">
                  <c:v>5594</c:v>
                </c:pt>
                <c:pt idx="299">
                  <c:v>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CF-40B2-A1F4-BBFCBEB0B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399239"/>
        <c:axId val="730401287"/>
      </c:lineChart>
      <c:catAx>
        <c:axId val="730399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01287"/>
        <c:crosses val="autoZero"/>
        <c:auto val="1"/>
        <c:lblAlgn val="ctr"/>
        <c:lblOffset val="100"/>
        <c:noMultiLvlLbl val="0"/>
      </c:catAx>
      <c:valAx>
        <c:axId val="73040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99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[Sales_Performance_Dashboard.xlsx.xlsx]Product_Pivot!PivotTable1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Product_Pivot!$A$4:$A$9</c:f>
              <c:strCache>
                <c:ptCount val="5"/>
                <c:pt idx="0">
                  <c:v>Chair</c:v>
                </c:pt>
                <c:pt idx="1">
                  <c:v>Headset</c:v>
                </c:pt>
                <c:pt idx="2">
                  <c:v>Laptop</c:v>
                </c:pt>
                <c:pt idx="3">
                  <c:v>Mobile</c:v>
                </c:pt>
                <c:pt idx="4">
                  <c:v>Table</c:v>
                </c:pt>
              </c:strCache>
            </c:strRef>
          </c:cat>
          <c:val>
            <c:numRef>
              <c:f>Product_Pivot!$B$4:$B$9</c:f>
              <c:numCache>
                <c:formatCode>"₹"\ #,##0.00</c:formatCode>
                <c:ptCount val="5"/>
                <c:pt idx="0">
                  <c:v>2297453</c:v>
                </c:pt>
                <c:pt idx="1">
                  <c:v>473887</c:v>
                </c:pt>
                <c:pt idx="2">
                  <c:v>14427393</c:v>
                </c:pt>
                <c:pt idx="3">
                  <c:v>6900545</c:v>
                </c:pt>
                <c:pt idx="4">
                  <c:v>2072245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E-4A80-A734-421BE660D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712199"/>
        <c:axId val="249730567"/>
      </c:barChart>
      <c:catAx>
        <c:axId val="20871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30567"/>
        <c:crosses val="autoZero"/>
        <c:auto val="1"/>
        <c:lblAlgn val="ctr"/>
        <c:lblOffset val="100"/>
        <c:noMultiLvlLbl val="0"/>
      </c:catAx>
      <c:valAx>
        <c:axId val="249730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71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E9F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[Sales_Performance_Dashboard.xlsx.xlsx]Region_Pivot!PivotTable1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Distribution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rgbClr val="FFFFFF"/>
            </a:solidFill>
            <a:prstDash val="solid"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Region_Pivot!$B$3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57-41F2-9BD0-CCD9B90D9E06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57-41F2-9BD0-CCD9B90D9E06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57-41F2-9BD0-CCD9B90D9E06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57-41F2-9BD0-CCD9B90D9E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Region_Pivot!$A$4:$A$8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Region_Pivot!$B$4:$B$8</c:f>
              <c:numCache>
                <c:formatCode>"₹"\ #,##0.00</c:formatCode>
                <c:ptCount val="4"/>
                <c:pt idx="0">
                  <c:v>2249066</c:v>
                </c:pt>
                <c:pt idx="1">
                  <c:v>11983822</c:v>
                </c:pt>
                <c:pt idx="2">
                  <c:v>9818003</c:v>
                </c:pt>
                <c:pt idx="3">
                  <c:v>2120632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57-41F2-9BD0-CCD9B90D9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[Sales_Performance_Dashboard.xlsx.xlsx]Sales_Trend!PivotTable2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Monthly Sales Trend</a:t>
            </a:r>
          </a:p>
        </c:rich>
      </c:tx>
      <c:layout>
        <c:manualLayout>
          <c:xMode val="edge"/>
          <c:yMode val="edge"/>
          <c:x val="0.35201805846302175"/>
          <c:y val="2.6771685582759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637CEF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Sales_Trend!$B$3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Sales_Trend!$A$4:$A$304</c:f>
              <c:strCache>
                <c:ptCount val="300"/>
                <c:pt idx="0">
                  <c:v>01-01-2024</c:v>
                </c:pt>
                <c:pt idx="1">
                  <c:v>02-01-2024</c:v>
                </c:pt>
                <c:pt idx="2">
                  <c:v>03-01-2024</c:v>
                </c:pt>
                <c:pt idx="3">
                  <c:v>04-01-2024</c:v>
                </c:pt>
                <c:pt idx="4">
                  <c:v>05-01-2024</c:v>
                </c:pt>
                <c:pt idx="5">
                  <c:v>06-01-2024</c:v>
                </c:pt>
                <c:pt idx="6">
                  <c:v>07-01-2024</c:v>
                </c:pt>
                <c:pt idx="7">
                  <c:v>08-01-2024</c:v>
                </c:pt>
                <c:pt idx="8">
                  <c:v>09-01-2024</c:v>
                </c:pt>
                <c:pt idx="9">
                  <c:v>10-01-2024</c:v>
                </c:pt>
                <c:pt idx="10">
                  <c:v>11-01-2024</c:v>
                </c:pt>
                <c:pt idx="11">
                  <c:v>12-01-2024</c:v>
                </c:pt>
                <c:pt idx="12">
                  <c:v>13-01-2024</c:v>
                </c:pt>
                <c:pt idx="13">
                  <c:v>14-01-2024</c:v>
                </c:pt>
                <c:pt idx="14">
                  <c:v>15-01-2024</c:v>
                </c:pt>
                <c:pt idx="15">
                  <c:v>16-01-2024</c:v>
                </c:pt>
                <c:pt idx="16">
                  <c:v>17-01-2024</c:v>
                </c:pt>
                <c:pt idx="17">
                  <c:v>18-01-2024</c:v>
                </c:pt>
                <c:pt idx="18">
                  <c:v>19-01-2024</c:v>
                </c:pt>
                <c:pt idx="19">
                  <c:v>20-01-2024</c:v>
                </c:pt>
                <c:pt idx="20">
                  <c:v>21-01-2024</c:v>
                </c:pt>
                <c:pt idx="21">
                  <c:v>22-01-2024</c:v>
                </c:pt>
                <c:pt idx="22">
                  <c:v>23-01-2024</c:v>
                </c:pt>
                <c:pt idx="23">
                  <c:v>24-01-2024</c:v>
                </c:pt>
                <c:pt idx="24">
                  <c:v>25-01-2024</c:v>
                </c:pt>
                <c:pt idx="25">
                  <c:v>26-01-2024</c:v>
                </c:pt>
                <c:pt idx="26">
                  <c:v>27-01-2024</c:v>
                </c:pt>
                <c:pt idx="27">
                  <c:v>28-01-2024</c:v>
                </c:pt>
                <c:pt idx="28">
                  <c:v>29-01-2024</c:v>
                </c:pt>
                <c:pt idx="29">
                  <c:v>30-01-2024</c:v>
                </c:pt>
                <c:pt idx="30">
                  <c:v>31-01-2024</c:v>
                </c:pt>
                <c:pt idx="31">
                  <c:v>01-02-2024</c:v>
                </c:pt>
                <c:pt idx="32">
                  <c:v>02-02-2024</c:v>
                </c:pt>
                <c:pt idx="33">
                  <c:v>03-02-2024</c:v>
                </c:pt>
                <c:pt idx="34">
                  <c:v>04-02-2024</c:v>
                </c:pt>
                <c:pt idx="35">
                  <c:v>05-02-2024</c:v>
                </c:pt>
                <c:pt idx="36">
                  <c:v>06-02-2024</c:v>
                </c:pt>
                <c:pt idx="37">
                  <c:v>07-02-2024</c:v>
                </c:pt>
                <c:pt idx="38">
                  <c:v>08-02-2024</c:v>
                </c:pt>
                <c:pt idx="39">
                  <c:v>09-02-2024</c:v>
                </c:pt>
                <c:pt idx="40">
                  <c:v>10-02-2024</c:v>
                </c:pt>
                <c:pt idx="41">
                  <c:v>11-02-2024</c:v>
                </c:pt>
                <c:pt idx="42">
                  <c:v>12-02-2024</c:v>
                </c:pt>
                <c:pt idx="43">
                  <c:v>13-02-2024</c:v>
                </c:pt>
                <c:pt idx="44">
                  <c:v>14-02-2024</c:v>
                </c:pt>
                <c:pt idx="45">
                  <c:v>15-02-2024</c:v>
                </c:pt>
                <c:pt idx="46">
                  <c:v>16-02-2024</c:v>
                </c:pt>
                <c:pt idx="47">
                  <c:v>17-02-2024</c:v>
                </c:pt>
                <c:pt idx="48">
                  <c:v>18-02-2024</c:v>
                </c:pt>
                <c:pt idx="49">
                  <c:v>19-02-2024</c:v>
                </c:pt>
                <c:pt idx="50">
                  <c:v>20-02-2024</c:v>
                </c:pt>
                <c:pt idx="51">
                  <c:v>21-02-2024</c:v>
                </c:pt>
                <c:pt idx="52">
                  <c:v>22-02-2024</c:v>
                </c:pt>
                <c:pt idx="53">
                  <c:v>23-02-2024</c:v>
                </c:pt>
                <c:pt idx="54">
                  <c:v>24-02-2024</c:v>
                </c:pt>
                <c:pt idx="55">
                  <c:v>25-02-2024</c:v>
                </c:pt>
                <c:pt idx="56">
                  <c:v>26-02-2024</c:v>
                </c:pt>
                <c:pt idx="57">
                  <c:v>27-02-2024</c:v>
                </c:pt>
                <c:pt idx="58">
                  <c:v>28-02-2024</c:v>
                </c:pt>
                <c:pt idx="59">
                  <c:v>29-02-2024</c:v>
                </c:pt>
                <c:pt idx="60">
                  <c:v>01-03-2024</c:v>
                </c:pt>
                <c:pt idx="61">
                  <c:v>02-03-2024</c:v>
                </c:pt>
                <c:pt idx="62">
                  <c:v>03-03-2024</c:v>
                </c:pt>
                <c:pt idx="63">
                  <c:v>04-03-2024</c:v>
                </c:pt>
                <c:pt idx="64">
                  <c:v>05-03-2024</c:v>
                </c:pt>
                <c:pt idx="65">
                  <c:v>06-03-2024</c:v>
                </c:pt>
                <c:pt idx="66">
                  <c:v>07-03-2024</c:v>
                </c:pt>
                <c:pt idx="67">
                  <c:v>08-03-2024</c:v>
                </c:pt>
                <c:pt idx="68">
                  <c:v>09-03-2024</c:v>
                </c:pt>
                <c:pt idx="69">
                  <c:v>10-03-2024</c:v>
                </c:pt>
                <c:pt idx="70">
                  <c:v>11-03-2024</c:v>
                </c:pt>
                <c:pt idx="71">
                  <c:v>12-03-2024</c:v>
                </c:pt>
                <c:pt idx="72">
                  <c:v>13-03-2024</c:v>
                </c:pt>
                <c:pt idx="73">
                  <c:v>14-03-2024</c:v>
                </c:pt>
                <c:pt idx="74">
                  <c:v>15-03-2024</c:v>
                </c:pt>
                <c:pt idx="75">
                  <c:v>16-03-2024</c:v>
                </c:pt>
                <c:pt idx="76">
                  <c:v>17-03-2024</c:v>
                </c:pt>
                <c:pt idx="77">
                  <c:v>18-03-2024</c:v>
                </c:pt>
                <c:pt idx="78">
                  <c:v>19-03-2024</c:v>
                </c:pt>
                <c:pt idx="79">
                  <c:v>20-03-2024</c:v>
                </c:pt>
                <c:pt idx="80">
                  <c:v>21-03-2024</c:v>
                </c:pt>
                <c:pt idx="81">
                  <c:v>22-03-2024</c:v>
                </c:pt>
                <c:pt idx="82">
                  <c:v>23-03-2024</c:v>
                </c:pt>
                <c:pt idx="83">
                  <c:v>24-03-2024</c:v>
                </c:pt>
                <c:pt idx="84">
                  <c:v>25-03-2024</c:v>
                </c:pt>
                <c:pt idx="85">
                  <c:v>26-03-2024</c:v>
                </c:pt>
                <c:pt idx="86">
                  <c:v>27-03-2024</c:v>
                </c:pt>
                <c:pt idx="87">
                  <c:v>28-03-2024</c:v>
                </c:pt>
                <c:pt idx="88">
                  <c:v>29-03-2024</c:v>
                </c:pt>
                <c:pt idx="89">
                  <c:v>30-03-2024</c:v>
                </c:pt>
                <c:pt idx="90">
                  <c:v>31-03-2024</c:v>
                </c:pt>
                <c:pt idx="91">
                  <c:v>01-04-2024</c:v>
                </c:pt>
                <c:pt idx="92">
                  <c:v>02-04-2024</c:v>
                </c:pt>
                <c:pt idx="93">
                  <c:v>03-04-2024</c:v>
                </c:pt>
                <c:pt idx="94">
                  <c:v>04-04-2024</c:v>
                </c:pt>
                <c:pt idx="95">
                  <c:v>05-04-2024</c:v>
                </c:pt>
                <c:pt idx="96">
                  <c:v>06-04-2024</c:v>
                </c:pt>
                <c:pt idx="97">
                  <c:v>07-04-2024</c:v>
                </c:pt>
                <c:pt idx="98">
                  <c:v>08-04-2024</c:v>
                </c:pt>
                <c:pt idx="99">
                  <c:v>09-04-2024</c:v>
                </c:pt>
                <c:pt idx="100">
                  <c:v>10-04-2024</c:v>
                </c:pt>
                <c:pt idx="101">
                  <c:v>11-04-2024</c:v>
                </c:pt>
                <c:pt idx="102">
                  <c:v>12-04-2024</c:v>
                </c:pt>
                <c:pt idx="103">
                  <c:v>13-04-2024</c:v>
                </c:pt>
                <c:pt idx="104">
                  <c:v>14-04-2024</c:v>
                </c:pt>
                <c:pt idx="105">
                  <c:v>15-04-2024</c:v>
                </c:pt>
                <c:pt idx="106">
                  <c:v>16-04-2024</c:v>
                </c:pt>
                <c:pt idx="107">
                  <c:v>17-04-2024</c:v>
                </c:pt>
                <c:pt idx="108">
                  <c:v>18-04-2024</c:v>
                </c:pt>
                <c:pt idx="109">
                  <c:v>19-04-2024</c:v>
                </c:pt>
                <c:pt idx="110">
                  <c:v>20-04-2024</c:v>
                </c:pt>
                <c:pt idx="111">
                  <c:v>21-04-2024</c:v>
                </c:pt>
                <c:pt idx="112">
                  <c:v>22-04-2024</c:v>
                </c:pt>
                <c:pt idx="113">
                  <c:v>23-04-2024</c:v>
                </c:pt>
                <c:pt idx="114">
                  <c:v>24-04-2024</c:v>
                </c:pt>
                <c:pt idx="115">
                  <c:v>25-04-2024</c:v>
                </c:pt>
                <c:pt idx="116">
                  <c:v>26-04-2024</c:v>
                </c:pt>
                <c:pt idx="117">
                  <c:v>27-04-2024</c:v>
                </c:pt>
                <c:pt idx="118">
                  <c:v>28-04-2024</c:v>
                </c:pt>
                <c:pt idx="119">
                  <c:v>29-04-2024</c:v>
                </c:pt>
                <c:pt idx="120">
                  <c:v>30-04-2024</c:v>
                </c:pt>
                <c:pt idx="121">
                  <c:v>01-05-2024</c:v>
                </c:pt>
                <c:pt idx="122">
                  <c:v>02-05-2024</c:v>
                </c:pt>
                <c:pt idx="123">
                  <c:v>03-05-2024</c:v>
                </c:pt>
                <c:pt idx="124">
                  <c:v>04-05-2024</c:v>
                </c:pt>
                <c:pt idx="125">
                  <c:v>05-05-2024</c:v>
                </c:pt>
                <c:pt idx="126">
                  <c:v>06-05-2024</c:v>
                </c:pt>
                <c:pt idx="127">
                  <c:v>07-05-2024</c:v>
                </c:pt>
                <c:pt idx="128">
                  <c:v>08-05-2024</c:v>
                </c:pt>
                <c:pt idx="129">
                  <c:v>09-05-2024</c:v>
                </c:pt>
                <c:pt idx="130">
                  <c:v>10-05-2024</c:v>
                </c:pt>
                <c:pt idx="131">
                  <c:v>11-05-2024</c:v>
                </c:pt>
                <c:pt idx="132">
                  <c:v>12-05-2024</c:v>
                </c:pt>
                <c:pt idx="133">
                  <c:v>13-05-2024</c:v>
                </c:pt>
                <c:pt idx="134">
                  <c:v>14-05-2024</c:v>
                </c:pt>
                <c:pt idx="135">
                  <c:v>15-05-2024</c:v>
                </c:pt>
                <c:pt idx="136">
                  <c:v>16-05-2024</c:v>
                </c:pt>
                <c:pt idx="137">
                  <c:v>17-05-2024</c:v>
                </c:pt>
                <c:pt idx="138">
                  <c:v>18-05-2024</c:v>
                </c:pt>
                <c:pt idx="139">
                  <c:v>19-05-2024</c:v>
                </c:pt>
                <c:pt idx="140">
                  <c:v>20-05-2024</c:v>
                </c:pt>
                <c:pt idx="141">
                  <c:v>21-05-2024</c:v>
                </c:pt>
                <c:pt idx="142">
                  <c:v>22-05-2024</c:v>
                </c:pt>
                <c:pt idx="143">
                  <c:v>23-05-2024</c:v>
                </c:pt>
                <c:pt idx="144">
                  <c:v>24-05-2024</c:v>
                </c:pt>
                <c:pt idx="145">
                  <c:v>25-05-2024</c:v>
                </c:pt>
                <c:pt idx="146">
                  <c:v>26-05-2024</c:v>
                </c:pt>
                <c:pt idx="147">
                  <c:v>27-05-2024</c:v>
                </c:pt>
                <c:pt idx="148">
                  <c:v>28-05-2024</c:v>
                </c:pt>
                <c:pt idx="149">
                  <c:v>29-05-2024</c:v>
                </c:pt>
                <c:pt idx="150">
                  <c:v>30-05-2024</c:v>
                </c:pt>
                <c:pt idx="151">
                  <c:v>31-05-2024</c:v>
                </c:pt>
                <c:pt idx="152">
                  <c:v>01-06-2024</c:v>
                </c:pt>
                <c:pt idx="153">
                  <c:v>02-06-2024</c:v>
                </c:pt>
                <c:pt idx="154">
                  <c:v>03-06-2024</c:v>
                </c:pt>
                <c:pt idx="155">
                  <c:v>04-06-2024</c:v>
                </c:pt>
                <c:pt idx="156">
                  <c:v>05-06-2024</c:v>
                </c:pt>
                <c:pt idx="157">
                  <c:v>06-06-2024</c:v>
                </c:pt>
                <c:pt idx="158">
                  <c:v>07-06-2024</c:v>
                </c:pt>
                <c:pt idx="159">
                  <c:v>08-06-2024</c:v>
                </c:pt>
                <c:pt idx="160">
                  <c:v>09-06-2024</c:v>
                </c:pt>
                <c:pt idx="161">
                  <c:v>10-06-2024</c:v>
                </c:pt>
                <c:pt idx="162">
                  <c:v>11-06-2024</c:v>
                </c:pt>
                <c:pt idx="163">
                  <c:v>12-06-2024</c:v>
                </c:pt>
                <c:pt idx="164">
                  <c:v>13-06-2024</c:v>
                </c:pt>
                <c:pt idx="165">
                  <c:v>14-06-2024</c:v>
                </c:pt>
                <c:pt idx="166">
                  <c:v>15-06-2024</c:v>
                </c:pt>
                <c:pt idx="167">
                  <c:v>16-06-2024</c:v>
                </c:pt>
                <c:pt idx="168">
                  <c:v>17-06-2024</c:v>
                </c:pt>
                <c:pt idx="169">
                  <c:v>18-06-2024</c:v>
                </c:pt>
                <c:pt idx="170">
                  <c:v>19-06-2024</c:v>
                </c:pt>
                <c:pt idx="171">
                  <c:v>20-06-2024</c:v>
                </c:pt>
                <c:pt idx="172">
                  <c:v>21-06-2024</c:v>
                </c:pt>
                <c:pt idx="173">
                  <c:v>22-06-2024</c:v>
                </c:pt>
                <c:pt idx="174">
                  <c:v>23-06-2024</c:v>
                </c:pt>
                <c:pt idx="175">
                  <c:v>24-06-2024</c:v>
                </c:pt>
                <c:pt idx="176">
                  <c:v>25-06-2024</c:v>
                </c:pt>
                <c:pt idx="177">
                  <c:v>26-06-2024</c:v>
                </c:pt>
                <c:pt idx="178">
                  <c:v>27-06-2024</c:v>
                </c:pt>
                <c:pt idx="179">
                  <c:v>28-06-2024</c:v>
                </c:pt>
                <c:pt idx="180">
                  <c:v>29-06-2024</c:v>
                </c:pt>
                <c:pt idx="181">
                  <c:v>30-06-2024</c:v>
                </c:pt>
                <c:pt idx="182">
                  <c:v>01-07-2024</c:v>
                </c:pt>
                <c:pt idx="183">
                  <c:v>02-07-2024</c:v>
                </c:pt>
                <c:pt idx="184">
                  <c:v>03-07-2024</c:v>
                </c:pt>
                <c:pt idx="185">
                  <c:v>04-07-2024</c:v>
                </c:pt>
                <c:pt idx="186">
                  <c:v>05-07-2024</c:v>
                </c:pt>
                <c:pt idx="187">
                  <c:v>06-07-2024</c:v>
                </c:pt>
                <c:pt idx="188">
                  <c:v>07-07-2024</c:v>
                </c:pt>
                <c:pt idx="189">
                  <c:v>08-07-2024</c:v>
                </c:pt>
                <c:pt idx="190">
                  <c:v>09-07-2024</c:v>
                </c:pt>
                <c:pt idx="191">
                  <c:v>10-07-2024</c:v>
                </c:pt>
                <c:pt idx="192">
                  <c:v>11-07-2024</c:v>
                </c:pt>
                <c:pt idx="193">
                  <c:v>12-07-2024</c:v>
                </c:pt>
                <c:pt idx="194">
                  <c:v>13-07-2024</c:v>
                </c:pt>
                <c:pt idx="195">
                  <c:v>14-07-2024</c:v>
                </c:pt>
                <c:pt idx="196">
                  <c:v>15-07-2024</c:v>
                </c:pt>
                <c:pt idx="197">
                  <c:v>16-07-2024</c:v>
                </c:pt>
                <c:pt idx="198">
                  <c:v>17-07-2024</c:v>
                </c:pt>
                <c:pt idx="199">
                  <c:v>18-07-2024</c:v>
                </c:pt>
                <c:pt idx="200">
                  <c:v>19-07-2024</c:v>
                </c:pt>
                <c:pt idx="201">
                  <c:v>20-07-2024</c:v>
                </c:pt>
                <c:pt idx="202">
                  <c:v>21-07-2024</c:v>
                </c:pt>
                <c:pt idx="203">
                  <c:v>22-07-2024</c:v>
                </c:pt>
                <c:pt idx="204">
                  <c:v>23-07-2024</c:v>
                </c:pt>
                <c:pt idx="205">
                  <c:v>24-07-2024</c:v>
                </c:pt>
                <c:pt idx="206">
                  <c:v>25-07-2024</c:v>
                </c:pt>
                <c:pt idx="207">
                  <c:v>26-07-2024</c:v>
                </c:pt>
                <c:pt idx="208">
                  <c:v>27-07-2024</c:v>
                </c:pt>
                <c:pt idx="209">
                  <c:v>28-07-2024</c:v>
                </c:pt>
                <c:pt idx="210">
                  <c:v>29-07-2024</c:v>
                </c:pt>
                <c:pt idx="211">
                  <c:v>30-07-2024</c:v>
                </c:pt>
                <c:pt idx="212">
                  <c:v>31-07-2024</c:v>
                </c:pt>
                <c:pt idx="213">
                  <c:v>01-08-2024</c:v>
                </c:pt>
                <c:pt idx="214">
                  <c:v>02-08-2024</c:v>
                </c:pt>
                <c:pt idx="215">
                  <c:v>03-08-2024</c:v>
                </c:pt>
                <c:pt idx="216">
                  <c:v>04-08-2024</c:v>
                </c:pt>
                <c:pt idx="217">
                  <c:v>05-08-2024</c:v>
                </c:pt>
                <c:pt idx="218">
                  <c:v>06-08-2024</c:v>
                </c:pt>
                <c:pt idx="219">
                  <c:v>07-08-2024</c:v>
                </c:pt>
                <c:pt idx="220">
                  <c:v>08-08-2024</c:v>
                </c:pt>
                <c:pt idx="221">
                  <c:v>09-08-2024</c:v>
                </c:pt>
                <c:pt idx="222">
                  <c:v>10-08-2024</c:v>
                </c:pt>
                <c:pt idx="223">
                  <c:v>11-08-2024</c:v>
                </c:pt>
                <c:pt idx="224">
                  <c:v>12-08-2024</c:v>
                </c:pt>
                <c:pt idx="225">
                  <c:v>13-08-2024</c:v>
                </c:pt>
                <c:pt idx="226">
                  <c:v>14-08-2024</c:v>
                </c:pt>
                <c:pt idx="227">
                  <c:v>15-08-2024</c:v>
                </c:pt>
                <c:pt idx="228">
                  <c:v>16-08-2024</c:v>
                </c:pt>
                <c:pt idx="229">
                  <c:v>17-08-2024</c:v>
                </c:pt>
                <c:pt idx="230">
                  <c:v>18-08-2024</c:v>
                </c:pt>
                <c:pt idx="231">
                  <c:v>19-08-2024</c:v>
                </c:pt>
                <c:pt idx="232">
                  <c:v>20-08-2024</c:v>
                </c:pt>
                <c:pt idx="233">
                  <c:v>21-08-2024</c:v>
                </c:pt>
                <c:pt idx="234">
                  <c:v>22-08-2024</c:v>
                </c:pt>
                <c:pt idx="235">
                  <c:v>23-08-2024</c:v>
                </c:pt>
                <c:pt idx="236">
                  <c:v>24-08-2024</c:v>
                </c:pt>
                <c:pt idx="237">
                  <c:v>25-08-2024</c:v>
                </c:pt>
                <c:pt idx="238">
                  <c:v>26-08-2024</c:v>
                </c:pt>
                <c:pt idx="239">
                  <c:v>27-08-2024</c:v>
                </c:pt>
                <c:pt idx="240">
                  <c:v>28-08-2024</c:v>
                </c:pt>
                <c:pt idx="241">
                  <c:v>29-08-2024</c:v>
                </c:pt>
                <c:pt idx="242">
                  <c:v>30-08-2024</c:v>
                </c:pt>
                <c:pt idx="243">
                  <c:v>31-08-2024</c:v>
                </c:pt>
                <c:pt idx="244">
                  <c:v>01-09-2024</c:v>
                </c:pt>
                <c:pt idx="245">
                  <c:v>02-09-2024</c:v>
                </c:pt>
                <c:pt idx="246">
                  <c:v>03-09-2024</c:v>
                </c:pt>
                <c:pt idx="247">
                  <c:v>04-09-2024</c:v>
                </c:pt>
                <c:pt idx="248">
                  <c:v>05-09-2024</c:v>
                </c:pt>
                <c:pt idx="249">
                  <c:v>06-09-2024</c:v>
                </c:pt>
                <c:pt idx="250">
                  <c:v>07-09-2024</c:v>
                </c:pt>
                <c:pt idx="251">
                  <c:v>08-09-2024</c:v>
                </c:pt>
                <c:pt idx="252">
                  <c:v>09-09-2024</c:v>
                </c:pt>
                <c:pt idx="253">
                  <c:v>10-09-2024</c:v>
                </c:pt>
                <c:pt idx="254">
                  <c:v>11-09-2024</c:v>
                </c:pt>
                <c:pt idx="255">
                  <c:v>12-09-2024</c:v>
                </c:pt>
                <c:pt idx="256">
                  <c:v>13-09-2024</c:v>
                </c:pt>
                <c:pt idx="257">
                  <c:v>14-09-2024</c:v>
                </c:pt>
                <c:pt idx="258">
                  <c:v>15-09-2024</c:v>
                </c:pt>
                <c:pt idx="259">
                  <c:v>16-09-2024</c:v>
                </c:pt>
                <c:pt idx="260">
                  <c:v>17-09-2024</c:v>
                </c:pt>
                <c:pt idx="261">
                  <c:v>18-09-2024</c:v>
                </c:pt>
                <c:pt idx="262">
                  <c:v>19-09-2024</c:v>
                </c:pt>
                <c:pt idx="263">
                  <c:v>20-09-2024</c:v>
                </c:pt>
                <c:pt idx="264">
                  <c:v>21-09-2024</c:v>
                </c:pt>
                <c:pt idx="265">
                  <c:v>22-09-2024</c:v>
                </c:pt>
                <c:pt idx="266">
                  <c:v>23-09-2024</c:v>
                </c:pt>
                <c:pt idx="267">
                  <c:v>24-09-2024</c:v>
                </c:pt>
                <c:pt idx="268">
                  <c:v>25-09-2024</c:v>
                </c:pt>
                <c:pt idx="269">
                  <c:v>26-09-2024</c:v>
                </c:pt>
                <c:pt idx="270">
                  <c:v>27-09-2024</c:v>
                </c:pt>
                <c:pt idx="271">
                  <c:v>28-09-2024</c:v>
                </c:pt>
                <c:pt idx="272">
                  <c:v>29-09-2024</c:v>
                </c:pt>
                <c:pt idx="273">
                  <c:v>30-09-2024</c:v>
                </c:pt>
                <c:pt idx="274">
                  <c:v>01-10-2024</c:v>
                </c:pt>
                <c:pt idx="275">
                  <c:v>02-10-2024</c:v>
                </c:pt>
                <c:pt idx="276">
                  <c:v>03-10-2024</c:v>
                </c:pt>
                <c:pt idx="277">
                  <c:v>04-10-2024</c:v>
                </c:pt>
                <c:pt idx="278">
                  <c:v>05-10-2024</c:v>
                </c:pt>
                <c:pt idx="279">
                  <c:v>06-10-2024</c:v>
                </c:pt>
                <c:pt idx="280">
                  <c:v>07-10-2024</c:v>
                </c:pt>
                <c:pt idx="281">
                  <c:v>08-10-2024</c:v>
                </c:pt>
                <c:pt idx="282">
                  <c:v>09-10-2024</c:v>
                </c:pt>
                <c:pt idx="283">
                  <c:v>10-10-2024</c:v>
                </c:pt>
                <c:pt idx="284">
                  <c:v>11-10-2024</c:v>
                </c:pt>
                <c:pt idx="285">
                  <c:v>12-10-2024</c:v>
                </c:pt>
                <c:pt idx="286">
                  <c:v>13-10-2024</c:v>
                </c:pt>
                <c:pt idx="287">
                  <c:v>14-10-2024</c:v>
                </c:pt>
                <c:pt idx="288">
                  <c:v>15-10-2024</c:v>
                </c:pt>
                <c:pt idx="289">
                  <c:v>16-10-2024</c:v>
                </c:pt>
                <c:pt idx="290">
                  <c:v>17-10-2024</c:v>
                </c:pt>
                <c:pt idx="291">
                  <c:v>18-10-2024</c:v>
                </c:pt>
                <c:pt idx="292">
                  <c:v>19-10-2024</c:v>
                </c:pt>
                <c:pt idx="293">
                  <c:v>20-10-2024</c:v>
                </c:pt>
                <c:pt idx="294">
                  <c:v>21-10-2024</c:v>
                </c:pt>
                <c:pt idx="295">
                  <c:v>22-10-2024</c:v>
                </c:pt>
                <c:pt idx="296">
                  <c:v>23-10-2024</c:v>
                </c:pt>
                <c:pt idx="297">
                  <c:v>24-10-2024</c:v>
                </c:pt>
                <c:pt idx="298">
                  <c:v>25-10-2024</c:v>
                </c:pt>
                <c:pt idx="299">
                  <c:v>26-10-2024</c:v>
                </c:pt>
              </c:strCache>
            </c:strRef>
          </c:cat>
          <c:val>
            <c:numRef>
              <c:f>Sales_Trend!$B$4:$B$304</c:f>
              <c:numCache>
                <c:formatCode>"₹"\ #,##0.00</c:formatCode>
                <c:ptCount val="300"/>
                <c:pt idx="0">
                  <c:v>518508</c:v>
                </c:pt>
                <c:pt idx="1">
                  <c:v>143584</c:v>
                </c:pt>
                <c:pt idx="2">
                  <c:v>27372</c:v>
                </c:pt>
                <c:pt idx="3">
                  <c:v>16524</c:v>
                </c:pt>
                <c:pt idx="4">
                  <c:v>2856</c:v>
                </c:pt>
                <c:pt idx="5">
                  <c:v>288425</c:v>
                </c:pt>
                <c:pt idx="6">
                  <c:v>22481</c:v>
                </c:pt>
                <c:pt idx="7">
                  <c:v>30126</c:v>
                </c:pt>
                <c:pt idx="8">
                  <c:v>10322</c:v>
                </c:pt>
                <c:pt idx="9">
                  <c:v>1827</c:v>
                </c:pt>
                <c:pt idx="10">
                  <c:v>91976</c:v>
                </c:pt>
                <c:pt idx="11">
                  <c:v>81432</c:v>
                </c:pt>
                <c:pt idx="12">
                  <c:v>28760</c:v>
                </c:pt>
                <c:pt idx="13">
                  <c:v>26625</c:v>
                </c:pt>
                <c:pt idx="14">
                  <c:v>13536</c:v>
                </c:pt>
                <c:pt idx="15">
                  <c:v>334355</c:v>
                </c:pt>
                <c:pt idx="16">
                  <c:v>168192</c:v>
                </c:pt>
                <c:pt idx="17">
                  <c:v>43812</c:v>
                </c:pt>
                <c:pt idx="18">
                  <c:v>95830</c:v>
                </c:pt>
                <c:pt idx="19">
                  <c:v>2482</c:v>
                </c:pt>
                <c:pt idx="20">
                  <c:v>105402</c:v>
                </c:pt>
                <c:pt idx="21">
                  <c:v>65940</c:v>
                </c:pt>
                <c:pt idx="22">
                  <c:v>31996</c:v>
                </c:pt>
                <c:pt idx="23">
                  <c:v>22210</c:v>
                </c:pt>
                <c:pt idx="24">
                  <c:v>12042</c:v>
                </c:pt>
                <c:pt idx="25">
                  <c:v>332535</c:v>
                </c:pt>
                <c:pt idx="26">
                  <c:v>219256</c:v>
                </c:pt>
                <c:pt idx="27">
                  <c:v>59283</c:v>
                </c:pt>
                <c:pt idx="28">
                  <c:v>37680</c:v>
                </c:pt>
                <c:pt idx="29">
                  <c:v>864</c:v>
                </c:pt>
                <c:pt idx="30">
                  <c:v>88272</c:v>
                </c:pt>
                <c:pt idx="31">
                  <c:v>60222</c:v>
                </c:pt>
                <c:pt idx="32">
                  <c:v>19868</c:v>
                </c:pt>
                <c:pt idx="33">
                  <c:v>48100</c:v>
                </c:pt>
                <c:pt idx="34">
                  <c:v>8148</c:v>
                </c:pt>
                <c:pt idx="35">
                  <c:v>360220</c:v>
                </c:pt>
                <c:pt idx="36">
                  <c:v>169152</c:v>
                </c:pt>
                <c:pt idx="37">
                  <c:v>99027</c:v>
                </c:pt>
                <c:pt idx="38">
                  <c:v>92700</c:v>
                </c:pt>
                <c:pt idx="39">
                  <c:v>1646</c:v>
                </c:pt>
                <c:pt idx="40">
                  <c:v>159801</c:v>
                </c:pt>
                <c:pt idx="41">
                  <c:v>85164</c:v>
                </c:pt>
                <c:pt idx="42">
                  <c:v>34660</c:v>
                </c:pt>
                <c:pt idx="43">
                  <c:v>38358</c:v>
                </c:pt>
                <c:pt idx="44">
                  <c:v>13209</c:v>
                </c:pt>
                <c:pt idx="45">
                  <c:v>348968</c:v>
                </c:pt>
                <c:pt idx="46">
                  <c:v>201798</c:v>
                </c:pt>
                <c:pt idx="47">
                  <c:v>40688</c:v>
                </c:pt>
                <c:pt idx="48">
                  <c:v>57285</c:v>
                </c:pt>
                <c:pt idx="49">
                  <c:v>12894</c:v>
                </c:pt>
                <c:pt idx="50">
                  <c:v>377608</c:v>
                </c:pt>
                <c:pt idx="51">
                  <c:v>226760</c:v>
                </c:pt>
                <c:pt idx="52">
                  <c:v>46269</c:v>
                </c:pt>
                <c:pt idx="53">
                  <c:v>79730</c:v>
                </c:pt>
                <c:pt idx="54">
                  <c:v>14113</c:v>
                </c:pt>
                <c:pt idx="55">
                  <c:v>51899</c:v>
                </c:pt>
                <c:pt idx="56">
                  <c:v>51476</c:v>
                </c:pt>
                <c:pt idx="57">
                  <c:v>24156</c:v>
                </c:pt>
                <c:pt idx="58">
                  <c:v>44988</c:v>
                </c:pt>
                <c:pt idx="59">
                  <c:v>8290</c:v>
                </c:pt>
                <c:pt idx="60">
                  <c:v>310440</c:v>
                </c:pt>
                <c:pt idx="61">
                  <c:v>202993</c:v>
                </c:pt>
                <c:pt idx="62">
                  <c:v>76592</c:v>
                </c:pt>
                <c:pt idx="63">
                  <c:v>83853</c:v>
                </c:pt>
                <c:pt idx="64">
                  <c:v>8060</c:v>
                </c:pt>
                <c:pt idx="65">
                  <c:v>604274</c:v>
                </c:pt>
                <c:pt idx="66">
                  <c:v>258816</c:v>
                </c:pt>
                <c:pt idx="67">
                  <c:v>107783</c:v>
                </c:pt>
                <c:pt idx="68">
                  <c:v>48650</c:v>
                </c:pt>
                <c:pt idx="69">
                  <c:v>20730</c:v>
                </c:pt>
                <c:pt idx="70">
                  <c:v>162816</c:v>
                </c:pt>
                <c:pt idx="71">
                  <c:v>82820</c:v>
                </c:pt>
                <c:pt idx="72">
                  <c:v>24055</c:v>
                </c:pt>
                <c:pt idx="73">
                  <c:v>62682</c:v>
                </c:pt>
                <c:pt idx="74">
                  <c:v>11767</c:v>
                </c:pt>
                <c:pt idx="75">
                  <c:v>351600</c:v>
                </c:pt>
                <c:pt idx="76">
                  <c:v>160947</c:v>
                </c:pt>
                <c:pt idx="77">
                  <c:v>8095</c:v>
                </c:pt>
                <c:pt idx="78">
                  <c:v>16956</c:v>
                </c:pt>
                <c:pt idx="79">
                  <c:v>5109</c:v>
                </c:pt>
                <c:pt idx="80">
                  <c:v>212604</c:v>
                </c:pt>
                <c:pt idx="81">
                  <c:v>116750</c:v>
                </c:pt>
                <c:pt idx="82">
                  <c:v>38605</c:v>
                </c:pt>
                <c:pt idx="83">
                  <c:v>38190</c:v>
                </c:pt>
                <c:pt idx="84">
                  <c:v>17780</c:v>
                </c:pt>
                <c:pt idx="85">
                  <c:v>406624</c:v>
                </c:pt>
                <c:pt idx="86">
                  <c:v>103484</c:v>
                </c:pt>
                <c:pt idx="87">
                  <c:v>28827</c:v>
                </c:pt>
                <c:pt idx="88">
                  <c:v>43520</c:v>
                </c:pt>
                <c:pt idx="89">
                  <c:v>11802</c:v>
                </c:pt>
                <c:pt idx="90">
                  <c:v>125142</c:v>
                </c:pt>
                <c:pt idx="91">
                  <c:v>91845</c:v>
                </c:pt>
                <c:pt idx="92">
                  <c:v>33909</c:v>
                </c:pt>
                <c:pt idx="93">
                  <c:v>10320</c:v>
                </c:pt>
                <c:pt idx="94">
                  <c:v>3408</c:v>
                </c:pt>
                <c:pt idx="95">
                  <c:v>145419</c:v>
                </c:pt>
                <c:pt idx="96">
                  <c:v>107780</c:v>
                </c:pt>
                <c:pt idx="97">
                  <c:v>28848</c:v>
                </c:pt>
                <c:pt idx="98">
                  <c:v>34125</c:v>
                </c:pt>
                <c:pt idx="99">
                  <c:v>8634</c:v>
                </c:pt>
                <c:pt idx="100">
                  <c:v>341565</c:v>
                </c:pt>
                <c:pt idx="101">
                  <c:v>124936</c:v>
                </c:pt>
                <c:pt idx="102">
                  <c:v>17307</c:v>
                </c:pt>
                <c:pt idx="103">
                  <c:v>34353</c:v>
                </c:pt>
                <c:pt idx="104">
                  <c:v>4070</c:v>
                </c:pt>
                <c:pt idx="105">
                  <c:v>142086</c:v>
                </c:pt>
                <c:pt idx="106">
                  <c:v>19579</c:v>
                </c:pt>
                <c:pt idx="107">
                  <c:v>8036</c:v>
                </c:pt>
                <c:pt idx="108">
                  <c:v>6936</c:v>
                </c:pt>
                <c:pt idx="109">
                  <c:v>3208</c:v>
                </c:pt>
                <c:pt idx="110">
                  <c:v>157419</c:v>
                </c:pt>
                <c:pt idx="111">
                  <c:v>93504</c:v>
                </c:pt>
                <c:pt idx="112">
                  <c:v>38628</c:v>
                </c:pt>
                <c:pt idx="113">
                  <c:v>42648</c:v>
                </c:pt>
                <c:pt idx="114">
                  <c:v>3220</c:v>
                </c:pt>
                <c:pt idx="115">
                  <c:v>521397</c:v>
                </c:pt>
                <c:pt idx="116">
                  <c:v>169911</c:v>
                </c:pt>
                <c:pt idx="117">
                  <c:v>15405</c:v>
                </c:pt>
                <c:pt idx="118">
                  <c:v>16796</c:v>
                </c:pt>
                <c:pt idx="119">
                  <c:v>8025</c:v>
                </c:pt>
                <c:pt idx="120">
                  <c:v>108922</c:v>
                </c:pt>
                <c:pt idx="121">
                  <c:v>37010</c:v>
                </c:pt>
                <c:pt idx="122">
                  <c:v>28182</c:v>
                </c:pt>
                <c:pt idx="123">
                  <c:v>34062</c:v>
                </c:pt>
                <c:pt idx="124">
                  <c:v>20928</c:v>
                </c:pt>
                <c:pt idx="125">
                  <c:v>474084</c:v>
                </c:pt>
                <c:pt idx="126">
                  <c:v>15702</c:v>
                </c:pt>
                <c:pt idx="127">
                  <c:v>15132</c:v>
                </c:pt>
                <c:pt idx="128">
                  <c:v>35484</c:v>
                </c:pt>
                <c:pt idx="129">
                  <c:v>14425</c:v>
                </c:pt>
                <c:pt idx="130">
                  <c:v>348474</c:v>
                </c:pt>
                <c:pt idx="131">
                  <c:v>116613</c:v>
                </c:pt>
                <c:pt idx="132">
                  <c:v>70432</c:v>
                </c:pt>
                <c:pt idx="133">
                  <c:v>89172</c:v>
                </c:pt>
                <c:pt idx="134">
                  <c:v>12090</c:v>
                </c:pt>
                <c:pt idx="135">
                  <c:v>41002</c:v>
                </c:pt>
                <c:pt idx="136">
                  <c:v>40830</c:v>
                </c:pt>
                <c:pt idx="137">
                  <c:v>12201</c:v>
                </c:pt>
                <c:pt idx="138">
                  <c:v>34712</c:v>
                </c:pt>
                <c:pt idx="139">
                  <c:v>11825</c:v>
                </c:pt>
                <c:pt idx="140">
                  <c:v>251370</c:v>
                </c:pt>
                <c:pt idx="141">
                  <c:v>198674</c:v>
                </c:pt>
                <c:pt idx="142">
                  <c:v>48536</c:v>
                </c:pt>
                <c:pt idx="143">
                  <c:v>16735</c:v>
                </c:pt>
                <c:pt idx="144">
                  <c:v>10800</c:v>
                </c:pt>
                <c:pt idx="145">
                  <c:v>286517</c:v>
                </c:pt>
                <c:pt idx="146">
                  <c:v>164944</c:v>
                </c:pt>
                <c:pt idx="147">
                  <c:v>103851</c:v>
                </c:pt>
                <c:pt idx="148">
                  <c:v>42870</c:v>
                </c:pt>
                <c:pt idx="149">
                  <c:v>2522</c:v>
                </c:pt>
                <c:pt idx="150">
                  <c:v>83080</c:v>
                </c:pt>
                <c:pt idx="151">
                  <c:v>56865</c:v>
                </c:pt>
                <c:pt idx="152">
                  <c:v>45088</c:v>
                </c:pt>
                <c:pt idx="153">
                  <c:v>42625</c:v>
                </c:pt>
                <c:pt idx="154">
                  <c:v>8634</c:v>
                </c:pt>
                <c:pt idx="155">
                  <c:v>322441</c:v>
                </c:pt>
                <c:pt idx="156">
                  <c:v>153312</c:v>
                </c:pt>
                <c:pt idx="157">
                  <c:v>36279</c:v>
                </c:pt>
                <c:pt idx="158">
                  <c:v>104460</c:v>
                </c:pt>
                <c:pt idx="159">
                  <c:v>2491</c:v>
                </c:pt>
                <c:pt idx="160">
                  <c:v>92080</c:v>
                </c:pt>
                <c:pt idx="161">
                  <c:v>87636</c:v>
                </c:pt>
                <c:pt idx="162">
                  <c:v>37984</c:v>
                </c:pt>
                <c:pt idx="163">
                  <c:v>22040</c:v>
                </c:pt>
                <c:pt idx="164">
                  <c:v>9972</c:v>
                </c:pt>
                <c:pt idx="165">
                  <c:v>348460</c:v>
                </c:pt>
                <c:pt idx="166">
                  <c:v>127088</c:v>
                </c:pt>
                <c:pt idx="167">
                  <c:v>28314</c:v>
                </c:pt>
                <c:pt idx="168">
                  <c:v>50320</c:v>
                </c:pt>
                <c:pt idx="169">
                  <c:v>26708</c:v>
                </c:pt>
                <c:pt idx="170">
                  <c:v>189704</c:v>
                </c:pt>
                <c:pt idx="171">
                  <c:v>100640</c:v>
                </c:pt>
                <c:pt idx="172">
                  <c:v>53010</c:v>
                </c:pt>
                <c:pt idx="173">
                  <c:v>58184</c:v>
                </c:pt>
                <c:pt idx="174">
                  <c:v>10544</c:v>
                </c:pt>
                <c:pt idx="175">
                  <c:v>389016</c:v>
                </c:pt>
                <c:pt idx="176">
                  <c:v>271380</c:v>
                </c:pt>
                <c:pt idx="177">
                  <c:v>10097</c:v>
                </c:pt>
                <c:pt idx="178">
                  <c:v>22666</c:v>
                </c:pt>
                <c:pt idx="179">
                  <c:v>5088</c:v>
                </c:pt>
                <c:pt idx="180">
                  <c:v>185204</c:v>
                </c:pt>
                <c:pt idx="181">
                  <c:v>128265</c:v>
                </c:pt>
                <c:pt idx="182">
                  <c:v>28314</c:v>
                </c:pt>
                <c:pt idx="183">
                  <c:v>44807</c:v>
                </c:pt>
                <c:pt idx="184">
                  <c:v>12488</c:v>
                </c:pt>
                <c:pt idx="185">
                  <c:v>369603</c:v>
                </c:pt>
                <c:pt idx="186">
                  <c:v>177910</c:v>
                </c:pt>
                <c:pt idx="187">
                  <c:v>18525</c:v>
                </c:pt>
                <c:pt idx="188">
                  <c:v>13704</c:v>
                </c:pt>
                <c:pt idx="189">
                  <c:v>6908</c:v>
                </c:pt>
                <c:pt idx="190">
                  <c:v>287270</c:v>
                </c:pt>
                <c:pt idx="191">
                  <c:v>141402</c:v>
                </c:pt>
                <c:pt idx="192">
                  <c:v>42770</c:v>
                </c:pt>
                <c:pt idx="193">
                  <c:v>10338</c:v>
                </c:pt>
                <c:pt idx="194">
                  <c:v>2523</c:v>
                </c:pt>
                <c:pt idx="195">
                  <c:v>212510</c:v>
                </c:pt>
                <c:pt idx="196">
                  <c:v>70068</c:v>
                </c:pt>
                <c:pt idx="197">
                  <c:v>22442</c:v>
                </c:pt>
                <c:pt idx="198">
                  <c:v>12291</c:v>
                </c:pt>
                <c:pt idx="199">
                  <c:v>1296</c:v>
                </c:pt>
                <c:pt idx="200">
                  <c:v>43148</c:v>
                </c:pt>
                <c:pt idx="201">
                  <c:v>27594</c:v>
                </c:pt>
                <c:pt idx="202">
                  <c:v>3046</c:v>
                </c:pt>
                <c:pt idx="203">
                  <c:v>9683</c:v>
                </c:pt>
                <c:pt idx="204">
                  <c:v>2637</c:v>
                </c:pt>
                <c:pt idx="205">
                  <c:v>56433</c:v>
                </c:pt>
                <c:pt idx="206">
                  <c:v>16943</c:v>
                </c:pt>
                <c:pt idx="207">
                  <c:v>5117</c:v>
                </c:pt>
                <c:pt idx="208">
                  <c:v>4673</c:v>
                </c:pt>
                <c:pt idx="209">
                  <c:v>3454</c:v>
                </c:pt>
                <c:pt idx="210">
                  <c:v>81232</c:v>
                </c:pt>
                <c:pt idx="211">
                  <c:v>56424</c:v>
                </c:pt>
                <c:pt idx="212">
                  <c:v>24759</c:v>
                </c:pt>
                <c:pt idx="213">
                  <c:v>40605</c:v>
                </c:pt>
                <c:pt idx="214">
                  <c:v>5465</c:v>
                </c:pt>
                <c:pt idx="215">
                  <c:v>264475</c:v>
                </c:pt>
                <c:pt idx="216">
                  <c:v>120468</c:v>
                </c:pt>
                <c:pt idx="217">
                  <c:v>14340</c:v>
                </c:pt>
                <c:pt idx="218">
                  <c:v>17670</c:v>
                </c:pt>
                <c:pt idx="219">
                  <c:v>3222</c:v>
                </c:pt>
                <c:pt idx="220">
                  <c:v>190440</c:v>
                </c:pt>
                <c:pt idx="221">
                  <c:v>112408</c:v>
                </c:pt>
                <c:pt idx="222">
                  <c:v>57022</c:v>
                </c:pt>
                <c:pt idx="223">
                  <c:v>21707</c:v>
                </c:pt>
                <c:pt idx="224">
                  <c:v>6855</c:v>
                </c:pt>
                <c:pt idx="225">
                  <c:v>434916</c:v>
                </c:pt>
                <c:pt idx="226">
                  <c:v>213776</c:v>
                </c:pt>
                <c:pt idx="227">
                  <c:v>55335</c:v>
                </c:pt>
                <c:pt idx="228">
                  <c:v>41598</c:v>
                </c:pt>
                <c:pt idx="229">
                  <c:v>2993</c:v>
                </c:pt>
                <c:pt idx="230">
                  <c:v>41721</c:v>
                </c:pt>
                <c:pt idx="231">
                  <c:v>72536</c:v>
                </c:pt>
                <c:pt idx="232">
                  <c:v>47450</c:v>
                </c:pt>
                <c:pt idx="233">
                  <c:v>24390</c:v>
                </c:pt>
                <c:pt idx="234">
                  <c:v>7028</c:v>
                </c:pt>
                <c:pt idx="235">
                  <c:v>168765</c:v>
                </c:pt>
                <c:pt idx="236">
                  <c:v>146736</c:v>
                </c:pt>
                <c:pt idx="237">
                  <c:v>102483</c:v>
                </c:pt>
                <c:pt idx="238">
                  <c:v>17005</c:v>
                </c:pt>
                <c:pt idx="239">
                  <c:v>12966</c:v>
                </c:pt>
                <c:pt idx="240">
                  <c:v>126600</c:v>
                </c:pt>
                <c:pt idx="241">
                  <c:v>71096</c:v>
                </c:pt>
                <c:pt idx="242">
                  <c:v>35580</c:v>
                </c:pt>
                <c:pt idx="243">
                  <c:v>55770</c:v>
                </c:pt>
                <c:pt idx="244">
                  <c:v>17458</c:v>
                </c:pt>
                <c:pt idx="245">
                  <c:v>142254</c:v>
                </c:pt>
                <c:pt idx="246">
                  <c:v>42970</c:v>
                </c:pt>
                <c:pt idx="247">
                  <c:v>28011</c:v>
                </c:pt>
                <c:pt idx="248">
                  <c:v>23064</c:v>
                </c:pt>
                <c:pt idx="249">
                  <c:v>1375</c:v>
                </c:pt>
                <c:pt idx="250">
                  <c:v>354361</c:v>
                </c:pt>
                <c:pt idx="251">
                  <c:v>159474</c:v>
                </c:pt>
                <c:pt idx="252">
                  <c:v>19590</c:v>
                </c:pt>
                <c:pt idx="253">
                  <c:v>31340</c:v>
                </c:pt>
                <c:pt idx="254">
                  <c:v>4034</c:v>
                </c:pt>
                <c:pt idx="255">
                  <c:v>516393</c:v>
                </c:pt>
                <c:pt idx="256">
                  <c:v>178164</c:v>
                </c:pt>
                <c:pt idx="257">
                  <c:v>56840</c:v>
                </c:pt>
                <c:pt idx="258">
                  <c:v>12876</c:v>
                </c:pt>
                <c:pt idx="259">
                  <c:v>2494</c:v>
                </c:pt>
                <c:pt idx="260">
                  <c:v>173655</c:v>
                </c:pt>
                <c:pt idx="261">
                  <c:v>98184</c:v>
                </c:pt>
                <c:pt idx="262">
                  <c:v>57492</c:v>
                </c:pt>
                <c:pt idx="263">
                  <c:v>8398</c:v>
                </c:pt>
                <c:pt idx="264">
                  <c:v>3954</c:v>
                </c:pt>
                <c:pt idx="265">
                  <c:v>163467</c:v>
                </c:pt>
                <c:pt idx="266">
                  <c:v>86688</c:v>
                </c:pt>
                <c:pt idx="267">
                  <c:v>70956</c:v>
                </c:pt>
                <c:pt idx="268">
                  <c:v>6523</c:v>
                </c:pt>
                <c:pt idx="269">
                  <c:v>4008</c:v>
                </c:pt>
                <c:pt idx="270">
                  <c:v>463096</c:v>
                </c:pt>
                <c:pt idx="271">
                  <c:v>204849</c:v>
                </c:pt>
                <c:pt idx="272">
                  <c:v>42836</c:v>
                </c:pt>
                <c:pt idx="273">
                  <c:v>19032</c:v>
                </c:pt>
                <c:pt idx="274">
                  <c:v>2708</c:v>
                </c:pt>
                <c:pt idx="275">
                  <c:v>87840</c:v>
                </c:pt>
                <c:pt idx="276">
                  <c:v>128565</c:v>
                </c:pt>
                <c:pt idx="277">
                  <c:v>43974</c:v>
                </c:pt>
                <c:pt idx="278">
                  <c:v>27265</c:v>
                </c:pt>
                <c:pt idx="279">
                  <c:v>12464</c:v>
                </c:pt>
                <c:pt idx="280">
                  <c:v>47134</c:v>
                </c:pt>
                <c:pt idx="281">
                  <c:v>44900</c:v>
                </c:pt>
                <c:pt idx="282">
                  <c:v>31599</c:v>
                </c:pt>
                <c:pt idx="283">
                  <c:v>24207</c:v>
                </c:pt>
                <c:pt idx="284">
                  <c:v>6984</c:v>
                </c:pt>
                <c:pt idx="285">
                  <c:v>357414</c:v>
                </c:pt>
                <c:pt idx="286">
                  <c:v>115340</c:v>
                </c:pt>
                <c:pt idx="287">
                  <c:v>56658</c:v>
                </c:pt>
                <c:pt idx="288">
                  <c:v>28992</c:v>
                </c:pt>
                <c:pt idx="289">
                  <c:v>10409</c:v>
                </c:pt>
                <c:pt idx="290">
                  <c:v>48808</c:v>
                </c:pt>
                <c:pt idx="291">
                  <c:v>22123</c:v>
                </c:pt>
                <c:pt idx="292">
                  <c:v>21366</c:v>
                </c:pt>
                <c:pt idx="293">
                  <c:v>8002</c:v>
                </c:pt>
                <c:pt idx="294">
                  <c:v>4938</c:v>
                </c:pt>
                <c:pt idx="295">
                  <c:v>136149</c:v>
                </c:pt>
                <c:pt idx="296">
                  <c:v>64146</c:v>
                </c:pt>
                <c:pt idx="297">
                  <c:v>9735</c:v>
                </c:pt>
                <c:pt idx="298">
                  <c:v>5594</c:v>
                </c:pt>
                <c:pt idx="299">
                  <c:v>1479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F4-453B-B73C-76F51322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399239"/>
        <c:axId val="730401287"/>
      </c:lineChart>
      <c:catAx>
        <c:axId val="730399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401287"/>
        <c:crosses val="autoZero"/>
        <c:auto val="1"/>
        <c:lblAlgn val="ctr"/>
        <c:lblOffset val="100"/>
        <c:noMultiLvlLbl val="0"/>
      </c:catAx>
      <c:valAx>
        <c:axId val="730401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399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1143000</xdr:colOff>
      <xdr:row>6</xdr:row>
      <xdr:rowOff>0</xdr:rowOff>
    </xdr:from>
    <xdr:to>
      <xdr:col>6</xdr:col>
      <xdr:colOff>1095375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B860A1-6616-BE8F-1872-0395B2A7E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6</xdr:row>
      <xdr:rowOff>114300</xdr:rowOff>
    </xdr:from>
    <xdr:to>
      <xdr:col>12</xdr:col>
      <xdr:colOff>361950</xdr:colOff>
      <xdr:row>24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B659AB-2590-198F-3897-29CA1003B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3</xdr:row>
      <xdr:rowOff>161925</xdr:rowOff>
    </xdr:from>
    <xdr:to>
      <xdr:col>14</xdr:col>
      <xdr:colOff>561975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8E21C2-50ED-57CD-A068-53C5BAD33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3</xdr:row>
      <xdr:rowOff>142875</xdr:rowOff>
    </xdr:from>
    <xdr:to>
      <xdr:col>9</xdr:col>
      <xdr:colOff>504825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5844F-2E9C-432B-AEBC-F593CF23A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523875</xdr:colOff>
      <xdr:row>3</xdr:row>
      <xdr:rowOff>180975</xdr:rowOff>
    </xdr:from>
    <xdr:to>
      <xdr:col>21</xdr:col>
      <xdr:colOff>0</xdr:colOff>
      <xdr:row>18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5CA7A-5C71-44E9-A319-B92DF6E530DC}"/>
            </a:ext>
            <a:ext uri="{147F2762-F138-4A5C-976F-8EAC2B608ADB}">
              <a16:predDERef xmlns:a16="http://schemas.microsoft.com/office/drawing/2014/main" pred="{7375844F-2E9C-432B-AEBC-F593CF23A0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304800</xdr:colOff>
      <xdr:row>21</xdr:row>
      <xdr:rowOff>171450</xdr:rowOff>
    </xdr:from>
    <xdr:to>
      <xdr:col>17</xdr:col>
      <xdr:colOff>285750</xdr:colOff>
      <xdr:row>40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8AE70E-7C0D-4B7E-BECD-6178990A8981}"/>
            </a:ext>
            <a:ext uri="{147F2762-F138-4A5C-976F-8EAC2B608ADB}">
              <a16:predDERef xmlns:a16="http://schemas.microsoft.com/office/drawing/2014/main" pred="{E0C5CA7A-5C71-44E9-A319-B92DF6E53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180975</xdr:rowOff>
    </xdr:from>
    <xdr:to>
      <xdr:col>1</xdr:col>
      <xdr:colOff>866775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8B542-D265-4C9B-A2E6-D8C575492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1733550</xdr:colOff>
      <xdr:row>5</xdr:row>
      <xdr:rowOff>9525</xdr:rowOff>
    </xdr:from>
    <xdr:to>
      <xdr:col>3</xdr:col>
      <xdr:colOff>4238625</xdr:colOff>
      <xdr:row>21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D75019-FE53-430F-A3D4-887C8CB4D54E}"/>
            </a:ext>
            <a:ext uri="{147F2762-F138-4A5C-976F-8EAC2B608ADB}">
              <a16:predDERef xmlns:a16="http://schemas.microsoft.com/office/drawing/2014/main" pred="{A518B542-D265-4C9B-A2E6-D8C575492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5210175</xdr:colOff>
      <xdr:row>4</xdr:row>
      <xdr:rowOff>142875</xdr:rowOff>
    </xdr:from>
    <xdr:to>
      <xdr:col>4</xdr:col>
      <xdr:colOff>8239125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148D37-73F8-4793-A4A5-D414549510A2}"/>
            </a:ext>
            <a:ext uri="{147F2762-F138-4A5C-976F-8EAC2B608ADB}">
              <a16:predDERef xmlns:a16="http://schemas.microsoft.com/office/drawing/2014/main" pred="{B4D75019-FE53-430F-A3D4-887C8CB4D5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2.627114583331" createdVersion="8" refreshedVersion="8" minRefreshableVersion="3" recordCount="300" xr:uid="{BD9A2B98-8A09-41CE-91F7-EB2A2F29399C}">
  <cacheSource type="worksheet">
    <worksheetSource name="Table1"/>
  </cacheSource>
  <cacheFields count="9">
    <cacheField name="Data" numFmtId="14">
      <sharedItems containsSemiMixedTypes="0" containsNonDate="0" containsDate="1" containsString="0" minDate="2024-01-01T00:00:00" maxDate="2024-10-27T00:00:00" count="300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</sharedItems>
    </cacheField>
    <cacheField name="Order_ID" numFmtId="0">
      <sharedItems count="300"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  <s v="ORD021"/>
        <s v="ORD022"/>
        <s v="ORD023"/>
        <s v="ORD024"/>
        <s v="ORD025"/>
        <s v="ORD026"/>
        <s v="ORD027"/>
        <s v="ORD028"/>
        <s v="ORD029"/>
        <s v="ORD030"/>
        <s v="ORD031"/>
        <s v="ORD032"/>
        <s v="ORD033"/>
        <s v="ORD034"/>
        <s v="ORD035"/>
        <s v="ORD036"/>
        <s v="ORD037"/>
        <s v="ORD038"/>
        <s v="ORD039"/>
        <s v="ORD040"/>
        <s v="ORD041"/>
        <s v="ORD042"/>
        <s v="ORD043"/>
        <s v="ORD044"/>
        <s v="ORD045"/>
        <s v="ORD046"/>
        <s v="ORD047"/>
        <s v="ORD048"/>
        <s v="ORD049"/>
        <s v="ORD050"/>
        <s v="ORD051"/>
        <s v="ORD052"/>
        <s v="ORD053"/>
        <s v="ORD054"/>
        <s v="ORD055"/>
        <s v="ORD056"/>
        <s v="ORD057"/>
        <s v="ORD058"/>
        <s v="ORD059"/>
        <s v="ORD060"/>
        <s v="ORD061"/>
        <s v="ORD062"/>
        <s v="ORD063"/>
        <s v="ORD064"/>
        <s v="ORD065"/>
        <s v="ORD066"/>
        <s v="ORD067"/>
        <s v="ORD068"/>
        <s v="ORD069"/>
        <s v="ORD070"/>
        <s v="ORD071"/>
        <s v="ORD072"/>
        <s v="ORD073"/>
        <s v="ORD074"/>
        <s v="ORD075"/>
        <s v="ORD076"/>
        <s v="ORD077"/>
        <s v="ORD078"/>
        <s v="ORD079"/>
        <s v="ORD080"/>
        <s v="ORD081"/>
        <s v="ORD082"/>
        <s v="ORD083"/>
        <s v="ORD084"/>
        <s v="ORD085"/>
        <s v="ORD086"/>
        <s v="ORD087"/>
        <s v="ORD088"/>
        <s v="ORD089"/>
        <s v="ORD090"/>
        <s v="ORD091"/>
        <s v="ORD092"/>
        <s v="ORD093"/>
        <s v="ORD094"/>
        <s v="ORD095"/>
        <s v="ORD096"/>
        <s v="ORD097"/>
        <s v="ORD098"/>
        <s v="ORD0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</sharedItems>
    </cacheField>
    <cacheField name="Product" numFmtId="0">
      <sharedItems count="5">
        <s v="Laptop"/>
        <s v="Mobile"/>
        <s v="Chair"/>
        <s v="Table"/>
        <s v="Headset"/>
      </sharedItems>
    </cacheField>
    <cacheField name="Category" numFmtId="0">
      <sharedItems count="3">
        <s v="Electronics"/>
        <s v="Furniture"/>
        <s v="Acessories"/>
      </sharedItems>
    </cacheField>
    <cacheField name="Region" numFmtId="0">
      <sharedItems count="4">
        <s v="South"/>
        <s v="North"/>
        <s v="West"/>
        <s v="East"/>
      </sharedItems>
    </cacheField>
    <cacheField name="Quantity" numFmtId="2">
      <sharedItems containsSemiMixedTypes="0" containsString="0" containsNumber="1" containsInteger="1" minValue="1" maxValue="15"/>
    </cacheField>
    <cacheField name="Unit_Price" numFmtId="164">
      <sharedItems containsSemiMixedTypes="0" containsString="0" containsNumber="1" containsInteger="1" minValue="806" maxValue="59569"/>
    </cacheField>
    <cacheField name="Total_Sales" numFmtId="164">
      <sharedItems containsSemiMixedTypes="0" containsString="0" containsNumber="1" containsInteger="1" minValue="864" maxValue="604274"/>
    </cacheField>
    <cacheField name="Payment_Mode" numFmtId="0">
      <sharedItems count="3">
        <s v="UPI"/>
        <s v="Card"/>
        <s v="Cas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x v="0"/>
    <x v="0"/>
    <n v="9"/>
    <n v="57612"/>
    <n v="518508"/>
    <x v="0"/>
  </r>
  <r>
    <x v="1"/>
    <x v="1"/>
    <x v="1"/>
    <x v="0"/>
    <x v="1"/>
    <n v="7"/>
    <n v="20512"/>
    <n v="143584"/>
    <x v="1"/>
  </r>
  <r>
    <x v="2"/>
    <x v="2"/>
    <x v="2"/>
    <x v="1"/>
    <x v="2"/>
    <n v="4"/>
    <n v="6843"/>
    <n v="27372"/>
    <x v="2"/>
  </r>
  <r>
    <x v="3"/>
    <x v="3"/>
    <x v="3"/>
    <x v="1"/>
    <x v="3"/>
    <n v="3"/>
    <n v="5508"/>
    <n v="16524"/>
    <x v="0"/>
  </r>
  <r>
    <x v="4"/>
    <x v="4"/>
    <x v="4"/>
    <x v="2"/>
    <x v="0"/>
    <n v="2"/>
    <n v="1428"/>
    <n v="2856"/>
    <x v="1"/>
  </r>
  <r>
    <x v="5"/>
    <x v="5"/>
    <x v="0"/>
    <x v="0"/>
    <x v="1"/>
    <n v="5"/>
    <n v="57685"/>
    <n v="288425"/>
    <x v="0"/>
  </r>
  <r>
    <x v="6"/>
    <x v="6"/>
    <x v="1"/>
    <x v="0"/>
    <x v="0"/>
    <n v="1"/>
    <n v="22481"/>
    <n v="22481"/>
    <x v="1"/>
  </r>
  <r>
    <x v="7"/>
    <x v="7"/>
    <x v="2"/>
    <x v="1"/>
    <x v="3"/>
    <n v="6"/>
    <n v="5021"/>
    <n v="30126"/>
    <x v="2"/>
  </r>
  <r>
    <x v="8"/>
    <x v="8"/>
    <x v="3"/>
    <x v="1"/>
    <x v="2"/>
    <n v="2"/>
    <n v="5161"/>
    <n v="10322"/>
    <x v="0"/>
  </r>
  <r>
    <x v="9"/>
    <x v="9"/>
    <x v="4"/>
    <x v="2"/>
    <x v="1"/>
    <n v="1"/>
    <n v="1827"/>
    <n v="1827"/>
    <x v="1"/>
  </r>
  <r>
    <x v="10"/>
    <x v="10"/>
    <x v="0"/>
    <x v="0"/>
    <x v="0"/>
    <n v="2"/>
    <n v="45988"/>
    <n v="91976"/>
    <x v="0"/>
  </r>
  <r>
    <x v="11"/>
    <x v="11"/>
    <x v="1"/>
    <x v="0"/>
    <x v="1"/>
    <n v="3"/>
    <n v="27144"/>
    <n v="81432"/>
    <x v="1"/>
  </r>
  <r>
    <x v="12"/>
    <x v="12"/>
    <x v="2"/>
    <x v="1"/>
    <x v="2"/>
    <n v="4"/>
    <n v="7190"/>
    <n v="28760"/>
    <x v="2"/>
  </r>
  <r>
    <x v="13"/>
    <x v="13"/>
    <x v="3"/>
    <x v="1"/>
    <x v="3"/>
    <n v="5"/>
    <n v="5325"/>
    <n v="26625"/>
    <x v="0"/>
  </r>
  <r>
    <x v="14"/>
    <x v="14"/>
    <x v="4"/>
    <x v="2"/>
    <x v="0"/>
    <n v="6"/>
    <n v="2256"/>
    <n v="13536"/>
    <x v="1"/>
  </r>
  <r>
    <x v="15"/>
    <x v="15"/>
    <x v="0"/>
    <x v="0"/>
    <x v="1"/>
    <n v="7"/>
    <n v="47765"/>
    <n v="334355"/>
    <x v="0"/>
  </r>
  <r>
    <x v="16"/>
    <x v="16"/>
    <x v="1"/>
    <x v="0"/>
    <x v="0"/>
    <n v="8"/>
    <n v="21024"/>
    <n v="168192"/>
    <x v="1"/>
  </r>
  <r>
    <x v="17"/>
    <x v="17"/>
    <x v="2"/>
    <x v="1"/>
    <x v="3"/>
    <n v="9"/>
    <n v="4868"/>
    <n v="43812"/>
    <x v="2"/>
  </r>
  <r>
    <x v="18"/>
    <x v="18"/>
    <x v="3"/>
    <x v="1"/>
    <x v="2"/>
    <n v="10"/>
    <n v="9583"/>
    <n v="95830"/>
    <x v="0"/>
  </r>
  <r>
    <x v="19"/>
    <x v="19"/>
    <x v="4"/>
    <x v="2"/>
    <x v="1"/>
    <n v="1"/>
    <n v="2482"/>
    <n v="2482"/>
    <x v="1"/>
  </r>
  <r>
    <x v="20"/>
    <x v="20"/>
    <x v="0"/>
    <x v="0"/>
    <x v="0"/>
    <n v="2"/>
    <n v="52701"/>
    <n v="105402"/>
    <x v="0"/>
  </r>
  <r>
    <x v="21"/>
    <x v="21"/>
    <x v="1"/>
    <x v="0"/>
    <x v="1"/>
    <n v="3"/>
    <n v="21980"/>
    <n v="65940"/>
    <x v="1"/>
  </r>
  <r>
    <x v="22"/>
    <x v="22"/>
    <x v="2"/>
    <x v="1"/>
    <x v="2"/>
    <n v="4"/>
    <n v="7999"/>
    <n v="31996"/>
    <x v="2"/>
  </r>
  <r>
    <x v="23"/>
    <x v="23"/>
    <x v="3"/>
    <x v="1"/>
    <x v="3"/>
    <n v="5"/>
    <n v="4442"/>
    <n v="22210"/>
    <x v="0"/>
  </r>
  <r>
    <x v="24"/>
    <x v="24"/>
    <x v="4"/>
    <x v="2"/>
    <x v="0"/>
    <n v="6"/>
    <n v="2007"/>
    <n v="12042"/>
    <x v="1"/>
  </r>
  <r>
    <x v="25"/>
    <x v="25"/>
    <x v="0"/>
    <x v="0"/>
    <x v="1"/>
    <n v="7"/>
    <n v="47505"/>
    <n v="332535"/>
    <x v="0"/>
  </r>
  <r>
    <x v="26"/>
    <x v="26"/>
    <x v="1"/>
    <x v="0"/>
    <x v="0"/>
    <n v="8"/>
    <n v="27407"/>
    <n v="219256"/>
    <x v="1"/>
  </r>
  <r>
    <x v="27"/>
    <x v="27"/>
    <x v="2"/>
    <x v="1"/>
    <x v="3"/>
    <n v="9"/>
    <n v="6587"/>
    <n v="59283"/>
    <x v="2"/>
  </r>
  <r>
    <x v="28"/>
    <x v="28"/>
    <x v="3"/>
    <x v="1"/>
    <x v="2"/>
    <n v="10"/>
    <n v="3768"/>
    <n v="37680"/>
    <x v="0"/>
  </r>
  <r>
    <x v="29"/>
    <x v="29"/>
    <x v="4"/>
    <x v="2"/>
    <x v="1"/>
    <n v="1"/>
    <n v="864"/>
    <n v="864"/>
    <x v="1"/>
  </r>
  <r>
    <x v="30"/>
    <x v="30"/>
    <x v="0"/>
    <x v="0"/>
    <x v="0"/>
    <n v="2"/>
    <n v="44136"/>
    <n v="88272"/>
    <x v="0"/>
  </r>
  <r>
    <x v="31"/>
    <x v="31"/>
    <x v="1"/>
    <x v="0"/>
    <x v="1"/>
    <n v="3"/>
    <n v="20074"/>
    <n v="60222"/>
    <x v="1"/>
  </r>
  <r>
    <x v="32"/>
    <x v="32"/>
    <x v="2"/>
    <x v="1"/>
    <x v="2"/>
    <n v="4"/>
    <n v="4967"/>
    <n v="19868"/>
    <x v="2"/>
  </r>
  <r>
    <x v="33"/>
    <x v="33"/>
    <x v="3"/>
    <x v="1"/>
    <x v="3"/>
    <n v="5"/>
    <n v="9620"/>
    <n v="48100"/>
    <x v="0"/>
  </r>
  <r>
    <x v="34"/>
    <x v="34"/>
    <x v="4"/>
    <x v="2"/>
    <x v="0"/>
    <n v="6"/>
    <n v="1358"/>
    <n v="8148"/>
    <x v="1"/>
  </r>
  <r>
    <x v="35"/>
    <x v="35"/>
    <x v="0"/>
    <x v="0"/>
    <x v="1"/>
    <n v="7"/>
    <n v="51460"/>
    <n v="360220"/>
    <x v="0"/>
  </r>
  <r>
    <x v="36"/>
    <x v="36"/>
    <x v="1"/>
    <x v="0"/>
    <x v="0"/>
    <n v="8"/>
    <n v="21144"/>
    <n v="169152"/>
    <x v="1"/>
  </r>
  <r>
    <x v="37"/>
    <x v="37"/>
    <x v="2"/>
    <x v="1"/>
    <x v="3"/>
    <n v="9"/>
    <n v="11003"/>
    <n v="99027"/>
    <x v="2"/>
  </r>
  <r>
    <x v="38"/>
    <x v="38"/>
    <x v="3"/>
    <x v="1"/>
    <x v="2"/>
    <n v="10"/>
    <n v="9270"/>
    <n v="92700"/>
    <x v="0"/>
  </r>
  <r>
    <x v="39"/>
    <x v="39"/>
    <x v="4"/>
    <x v="2"/>
    <x v="1"/>
    <n v="2"/>
    <n v="823"/>
    <n v="1646"/>
    <x v="1"/>
  </r>
  <r>
    <x v="40"/>
    <x v="40"/>
    <x v="0"/>
    <x v="0"/>
    <x v="0"/>
    <n v="3"/>
    <n v="53267"/>
    <n v="159801"/>
    <x v="0"/>
  </r>
  <r>
    <x v="41"/>
    <x v="41"/>
    <x v="1"/>
    <x v="0"/>
    <x v="1"/>
    <n v="4"/>
    <n v="21291"/>
    <n v="85164"/>
    <x v="1"/>
  </r>
  <r>
    <x v="42"/>
    <x v="42"/>
    <x v="2"/>
    <x v="1"/>
    <x v="2"/>
    <n v="5"/>
    <n v="6932"/>
    <n v="34660"/>
    <x v="2"/>
  </r>
  <r>
    <x v="43"/>
    <x v="43"/>
    <x v="3"/>
    <x v="1"/>
    <x v="3"/>
    <n v="6"/>
    <n v="6393"/>
    <n v="38358"/>
    <x v="0"/>
  </r>
  <r>
    <x v="44"/>
    <x v="44"/>
    <x v="4"/>
    <x v="2"/>
    <x v="0"/>
    <n v="7"/>
    <n v="1887"/>
    <n v="13209"/>
    <x v="1"/>
  </r>
  <r>
    <x v="45"/>
    <x v="45"/>
    <x v="0"/>
    <x v="0"/>
    <x v="1"/>
    <n v="8"/>
    <n v="43621"/>
    <n v="348968"/>
    <x v="0"/>
  </r>
  <r>
    <x v="46"/>
    <x v="46"/>
    <x v="1"/>
    <x v="0"/>
    <x v="0"/>
    <n v="9"/>
    <n v="22422"/>
    <n v="201798"/>
    <x v="1"/>
  </r>
  <r>
    <x v="47"/>
    <x v="47"/>
    <x v="2"/>
    <x v="1"/>
    <x v="3"/>
    <n v="4"/>
    <n v="10172"/>
    <n v="40688"/>
    <x v="2"/>
  </r>
  <r>
    <x v="48"/>
    <x v="48"/>
    <x v="3"/>
    <x v="1"/>
    <x v="2"/>
    <n v="5"/>
    <n v="11457"/>
    <n v="57285"/>
    <x v="0"/>
  </r>
  <r>
    <x v="49"/>
    <x v="49"/>
    <x v="4"/>
    <x v="2"/>
    <x v="1"/>
    <n v="6"/>
    <n v="2149"/>
    <n v="12894"/>
    <x v="1"/>
  </r>
  <r>
    <x v="50"/>
    <x v="50"/>
    <x v="0"/>
    <x v="0"/>
    <x v="0"/>
    <n v="7"/>
    <n v="53944"/>
    <n v="377608"/>
    <x v="0"/>
  </r>
  <r>
    <x v="51"/>
    <x v="51"/>
    <x v="1"/>
    <x v="0"/>
    <x v="1"/>
    <n v="8"/>
    <n v="28345"/>
    <n v="226760"/>
    <x v="1"/>
  </r>
  <r>
    <x v="52"/>
    <x v="52"/>
    <x v="2"/>
    <x v="1"/>
    <x v="2"/>
    <n v="9"/>
    <n v="5141"/>
    <n v="46269"/>
    <x v="2"/>
  </r>
  <r>
    <x v="53"/>
    <x v="53"/>
    <x v="3"/>
    <x v="1"/>
    <x v="3"/>
    <n v="10"/>
    <n v="7973"/>
    <n v="79730"/>
    <x v="0"/>
  </r>
  <r>
    <x v="54"/>
    <x v="54"/>
    <x v="4"/>
    <x v="2"/>
    <x v="0"/>
    <n v="11"/>
    <n v="1283"/>
    <n v="14113"/>
    <x v="1"/>
  </r>
  <r>
    <x v="55"/>
    <x v="55"/>
    <x v="0"/>
    <x v="0"/>
    <x v="1"/>
    <n v="1"/>
    <n v="51899"/>
    <n v="51899"/>
    <x v="0"/>
  </r>
  <r>
    <x v="56"/>
    <x v="56"/>
    <x v="1"/>
    <x v="0"/>
    <x v="0"/>
    <n v="2"/>
    <n v="25738"/>
    <n v="51476"/>
    <x v="1"/>
  </r>
  <r>
    <x v="57"/>
    <x v="57"/>
    <x v="2"/>
    <x v="1"/>
    <x v="3"/>
    <n v="3"/>
    <n v="8052"/>
    <n v="24156"/>
    <x v="2"/>
  </r>
  <r>
    <x v="58"/>
    <x v="58"/>
    <x v="3"/>
    <x v="1"/>
    <x v="2"/>
    <n v="4"/>
    <n v="11247"/>
    <n v="44988"/>
    <x v="0"/>
  </r>
  <r>
    <x v="59"/>
    <x v="59"/>
    <x v="4"/>
    <x v="2"/>
    <x v="1"/>
    <n v="5"/>
    <n v="1658"/>
    <n v="8290"/>
    <x v="1"/>
  </r>
  <r>
    <x v="60"/>
    <x v="60"/>
    <x v="0"/>
    <x v="0"/>
    <x v="0"/>
    <n v="6"/>
    <n v="51740"/>
    <n v="310440"/>
    <x v="0"/>
  </r>
  <r>
    <x v="61"/>
    <x v="61"/>
    <x v="1"/>
    <x v="0"/>
    <x v="1"/>
    <n v="7"/>
    <n v="28999"/>
    <n v="202993"/>
    <x v="1"/>
  </r>
  <r>
    <x v="62"/>
    <x v="62"/>
    <x v="2"/>
    <x v="1"/>
    <x v="2"/>
    <n v="8"/>
    <n v="9574"/>
    <n v="76592"/>
    <x v="2"/>
  </r>
  <r>
    <x v="63"/>
    <x v="63"/>
    <x v="3"/>
    <x v="1"/>
    <x v="3"/>
    <n v="9"/>
    <n v="9317"/>
    <n v="83853"/>
    <x v="0"/>
  </r>
  <r>
    <x v="64"/>
    <x v="64"/>
    <x v="4"/>
    <x v="2"/>
    <x v="0"/>
    <n v="10"/>
    <n v="806"/>
    <n v="8060"/>
    <x v="1"/>
  </r>
  <r>
    <x v="65"/>
    <x v="65"/>
    <x v="0"/>
    <x v="0"/>
    <x v="1"/>
    <n v="11"/>
    <n v="54934"/>
    <n v="604274"/>
    <x v="0"/>
  </r>
  <r>
    <x v="66"/>
    <x v="66"/>
    <x v="1"/>
    <x v="0"/>
    <x v="0"/>
    <n v="12"/>
    <n v="21568"/>
    <n v="258816"/>
    <x v="1"/>
  </r>
  <r>
    <x v="67"/>
    <x v="67"/>
    <x v="2"/>
    <x v="1"/>
    <x v="3"/>
    <n v="13"/>
    <n v="8291"/>
    <n v="107783"/>
    <x v="2"/>
  </r>
  <r>
    <x v="68"/>
    <x v="68"/>
    <x v="3"/>
    <x v="1"/>
    <x v="2"/>
    <n v="14"/>
    <n v="3475"/>
    <n v="48650"/>
    <x v="0"/>
  </r>
  <r>
    <x v="69"/>
    <x v="69"/>
    <x v="4"/>
    <x v="2"/>
    <x v="1"/>
    <n v="15"/>
    <n v="1382"/>
    <n v="20730"/>
    <x v="1"/>
  </r>
  <r>
    <x v="70"/>
    <x v="70"/>
    <x v="0"/>
    <x v="0"/>
    <x v="0"/>
    <n v="3"/>
    <n v="54272"/>
    <n v="162816"/>
    <x v="0"/>
  </r>
  <r>
    <x v="71"/>
    <x v="71"/>
    <x v="1"/>
    <x v="0"/>
    <x v="1"/>
    <n v="4"/>
    <n v="20705"/>
    <n v="82820"/>
    <x v="1"/>
  </r>
  <r>
    <x v="72"/>
    <x v="72"/>
    <x v="2"/>
    <x v="1"/>
    <x v="2"/>
    <n v="5"/>
    <n v="4811"/>
    <n v="24055"/>
    <x v="2"/>
  </r>
  <r>
    <x v="73"/>
    <x v="73"/>
    <x v="3"/>
    <x v="1"/>
    <x v="3"/>
    <n v="6"/>
    <n v="10447"/>
    <n v="62682"/>
    <x v="0"/>
  </r>
  <r>
    <x v="74"/>
    <x v="74"/>
    <x v="4"/>
    <x v="2"/>
    <x v="0"/>
    <n v="7"/>
    <n v="1681"/>
    <n v="11767"/>
    <x v="1"/>
  </r>
  <r>
    <x v="75"/>
    <x v="75"/>
    <x v="0"/>
    <x v="0"/>
    <x v="1"/>
    <n v="8"/>
    <n v="43950"/>
    <n v="351600"/>
    <x v="0"/>
  </r>
  <r>
    <x v="76"/>
    <x v="76"/>
    <x v="1"/>
    <x v="0"/>
    <x v="0"/>
    <n v="9"/>
    <n v="17883"/>
    <n v="160947"/>
    <x v="1"/>
  </r>
  <r>
    <x v="77"/>
    <x v="77"/>
    <x v="2"/>
    <x v="1"/>
    <x v="3"/>
    <n v="1"/>
    <n v="8095"/>
    <n v="8095"/>
    <x v="2"/>
  </r>
  <r>
    <x v="78"/>
    <x v="78"/>
    <x v="3"/>
    <x v="1"/>
    <x v="2"/>
    <n v="2"/>
    <n v="8478"/>
    <n v="16956"/>
    <x v="0"/>
  </r>
  <r>
    <x v="79"/>
    <x v="79"/>
    <x v="4"/>
    <x v="2"/>
    <x v="1"/>
    <n v="3"/>
    <n v="1703"/>
    <n v="5109"/>
    <x v="1"/>
  </r>
  <r>
    <x v="80"/>
    <x v="80"/>
    <x v="0"/>
    <x v="0"/>
    <x v="0"/>
    <n v="4"/>
    <n v="53151"/>
    <n v="212604"/>
    <x v="0"/>
  </r>
  <r>
    <x v="81"/>
    <x v="81"/>
    <x v="1"/>
    <x v="0"/>
    <x v="1"/>
    <n v="5"/>
    <n v="23350"/>
    <n v="116750"/>
    <x v="1"/>
  </r>
  <r>
    <x v="82"/>
    <x v="82"/>
    <x v="2"/>
    <x v="1"/>
    <x v="2"/>
    <n v="5"/>
    <n v="7721"/>
    <n v="38605"/>
    <x v="2"/>
  </r>
  <r>
    <x v="83"/>
    <x v="83"/>
    <x v="3"/>
    <x v="1"/>
    <x v="3"/>
    <n v="6"/>
    <n v="6365"/>
    <n v="38190"/>
    <x v="0"/>
  </r>
  <r>
    <x v="84"/>
    <x v="84"/>
    <x v="4"/>
    <x v="2"/>
    <x v="0"/>
    <n v="7"/>
    <n v="2540"/>
    <n v="17780"/>
    <x v="1"/>
  </r>
  <r>
    <x v="85"/>
    <x v="85"/>
    <x v="0"/>
    <x v="0"/>
    <x v="1"/>
    <n v="8"/>
    <n v="50828"/>
    <n v="406624"/>
    <x v="0"/>
  </r>
  <r>
    <x v="86"/>
    <x v="86"/>
    <x v="1"/>
    <x v="0"/>
    <x v="0"/>
    <n v="4"/>
    <n v="25871"/>
    <n v="103484"/>
    <x v="1"/>
  </r>
  <r>
    <x v="87"/>
    <x v="87"/>
    <x v="2"/>
    <x v="1"/>
    <x v="3"/>
    <n v="3"/>
    <n v="9609"/>
    <n v="28827"/>
    <x v="2"/>
  </r>
  <r>
    <x v="88"/>
    <x v="88"/>
    <x v="3"/>
    <x v="1"/>
    <x v="2"/>
    <n v="5"/>
    <n v="8704"/>
    <n v="43520"/>
    <x v="0"/>
  </r>
  <r>
    <x v="89"/>
    <x v="89"/>
    <x v="4"/>
    <x v="2"/>
    <x v="1"/>
    <n v="6"/>
    <n v="1967"/>
    <n v="11802"/>
    <x v="1"/>
  </r>
  <r>
    <x v="90"/>
    <x v="90"/>
    <x v="0"/>
    <x v="0"/>
    <x v="0"/>
    <n v="3"/>
    <n v="41714"/>
    <n v="125142"/>
    <x v="0"/>
  </r>
  <r>
    <x v="91"/>
    <x v="91"/>
    <x v="1"/>
    <x v="0"/>
    <x v="1"/>
    <n v="5"/>
    <n v="18369"/>
    <n v="91845"/>
    <x v="1"/>
  </r>
  <r>
    <x v="92"/>
    <x v="92"/>
    <x v="2"/>
    <x v="1"/>
    <x v="2"/>
    <n v="3"/>
    <n v="11303"/>
    <n v="33909"/>
    <x v="2"/>
  </r>
  <r>
    <x v="93"/>
    <x v="93"/>
    <x v="3"/>
    <x v="1"/>
    <x v="3"/>
    <n v="1"/>
    <n v="10320"/>
    <n v="10320"/>
    <x v="0"/>
  </r>
  <r>
    <x v="94"/>
    <x v="94"/>
    <x v="4"/>
    <x v="2"/>
    <x v="0"/>
    <n v="2"/>
    <n v="1704"/>
    <n v="3408"/>
    <x v="1"/>
  </r>
  <r>
    <x v="95"/>
    <x v="95"/>
    <x v="0"/>
    <x v="0"/>
    <x v="1"/>
    <n v="3"/>
    <n v="48473"/>
    <n v="145419"/>
    <x v="0"/>
  </r>
  <r>
    <x v="96"/>
    <x v="96"/>
    <x v="1"/>
    <x v="0"/>
    <x v="0"/>
    <n v="4"/>
    <n v="26945"/>
    <n v="107780"/>
    <x v="1"/>
  </r>
  <r>
    <x v="97"/>
    <x v="97"/>
    <x v="2"/>
    <x v="1"/>
    <x v="3"/>
    <n v="4"/>
    <n v="7212"/>
    <n v="28848"/>
    <x v="2"/>
  </r>
  <r>
    <x v="98"/>
    <x v="98"/>
    <x v="3"/>
    <x v="1"/>
    <x v="2"/>
    <n v="5"/>
    <n v="6825"/>
    <n v="34125"/>
    <x v="0"/>
  </r>
  <r>
    <x v="99"/>
    <x v="99"/>
    <x v="4"/>
    <x v="2"/>
    <x v="1"/>
    <n v="6"/>
    <n v="1439"/>
    <n v="8634"/>
    <x v="1"/>
  </r>
  <r>
    <x v="100"/>
    <x v="100"/>
    <x v="0"/>
    <x v="0"/>
    <x v="0"/>
    <n v="7"/>
    <n v="48795"/>
    <n v="341565"/>
    <x v="0"/>
  </r>
  <r>
    <x v="101"/>
    <x v="101"/>
    <x v="1"/>
    <x v="0"/>
    <x v="1"/>
    <n v="8"/>
    <n v="15617"/>
    <n v="124936"/>
    <x v="1"/>
  </r>
  <r>
    <x v="102"/>
    <x v="102"/>
    <x v="2"/>
    <x v="1"/>
    <x v="2"/>
    <n v="3"/>
    <n v="5769"/>
    <n v="17307"/>
    <x v="2"/>
  </r>
  <r>
    <x v="103"/>
    <x v="103"/>
    <x v="3"/>
    <x v="1"/>
    <x v="3"/>
    <n v="3"/>
    <n v="11451"/>
    <n v="34353"/>
    <x v="0"/>
  </r>
  <r>
    <x v="104"/>
    <x v="104"/>
    <x v="4"/>
    <x v="2"/>
    <x v="0"/>
    <n v="5"/>
    <n v="814"/>
    <n v="4070"/>
    <x v="1"/>
  </r>
  <r>
    <x v="105"/>
    <x v="105"/>
    <x v="0"/>
    <x v="0"/>
    <x v="1"/>
    <n v="3"/>
    <n v="47362"/>
    <n v="142086"/>
    <x v="0"/>
  </r>
  <r>
    <x v="106"/>
    <x v="106"/>
    <x v="1"/>
    <x v="0"/>
    <x v="0"/>
    <n v="1"/>
    <n v="19579"/>
    <n v="19579"/>
    <x v="1"/>
  </r>
  <r>
    <x v="107"/>
    <x v="107"/>
    <x v="2"/>
    <x v="1"/>
    <x v="3"/>
    <n v="2"/>
    <n v="4018"/>
    <n v="8036"/>
    <x v="2"/>
  </r>
  <r>
    <x v="108"/>
    <x v="108"/>
    <x v="3"/>
    <x v="1"/>
    <x v="2"/>
    <n v="1"/>
    <n v="6936"/>
    <n v="6936"/>
    <x v="0"/>
  </r>
  <r>
    <x v="109"/>
    <x v="109"/>
    <x v="4"/>
    <x v="2"/>
    <x v="1"/>
    <n v="2"/>
    <n v="1604"/>
    <n v="3208"/>
    <x v="1"/>
  </r>
  <r>
    <x v="110"/>
    <x v="110"/>
    <x v="0"/>
    <x v="0"/>
    <x v="0"/>
    <n v="3"/>
    <n v="52473"/>
    <n v="157419"/>
    <x v="0"/>
  </r>
  <r>
    <x v="111"/>
    <x v="111"/>
    <x v="1"/>
    <x v="0"/>
    <x v="1"/>
    <n v="4"/>
    <n v="23376"/>
    <n v="93504"/>
    <x v="1"/>
  </r>
  <r>
    <x v="112"/>
    <x v="112"/>
    <x v="2"/>
    <x v="1"/>
    <x v="2"/>
    <n v="6"/>
    <n v="6438"/>
    <n v="38628"/>
    <x v="2"/>
  </r>
  <r>
    <x v="113"/>
    <x v="113"/>
    <x v="3"/>
    <x v="1"/>
    <x v="3"/>
    <n v="6"/>
    <n v="7108"/>
    <n v="42648"/>
    <x v="0"/>
  </r>
  <r>
    <x v="114"/>
    <x v="114"/>
    <x v="4"/>
    <x v="2"/>
    <x v="0"/>
    <n v="2"/>
    <n v="1610"/>
    <n v="3220"/>
    <x v="1"/>
  </r>
  <r>
    <x v="115"/>
    <x v="115"/>
    <x v="0"/>
    <x v="0"/>
    <x v="1"/>
    <n v="9"/>
    <n v="57933"/>
    <n v="521397"/>
    <x v="0"/>
  </r>
  <r>
    <x v="116"/>
    <x v="116"/>
    <x v="1"/>
    <x v="0"/>
    <x v="0"/>
    <n v="7"/>
    <n v="24273"/>
    <n v="169911"/>
    <x v="1"/>
  </r>
  <r>
    <x v="117"/>
    <x v="117"/>
    <x v="2"/>
    <x v="1"/>
    <x v="3"/>
    <n v="5"/>
    <n v="3081"/>
    <n v="15405"/>
    <x v="2"/>
  </r>
  <r>
    <x v="118"/>
    <x v="118"/>
    <x v="3"/>
    <x v="1"/>
    <x v="2"/>
    <n v="4"/>
    <n v="4199"/>
    <n v="16796"/>
    <x v="0"/>
  </r>
  <r>
    <x v="119"/>
    <x v="119"/>
    <x v="4"/>
    <x v="2"/>
    <x v="1"/>
    <n v="3"/>
    <n v="2675"/>
    <n v="8025"/>
    <x v="1"/>
  </r>
  <r>
    <x v="120"/>
    <x v="120"/>
    <x v="0"/>
    <x v="0"/>
    <x v="0"/>
    <n v="2"/>
    <n v="54461"/>
    <n v="108922"/>
    <x v="0"/>
  </r>
  <r>
    <x v="121"/>
    <x v="121"/>
    <x v="1"/>
    <x v="0"/>
    <x v="1"/>
    <n v="2"/>
    <n v="18505"/>
    <n v="37010"/>
    <x v="1"/>
  </r>
  <r>
    <x v="122"/>
    <x v="122"/>
    <x v="2"/>
    <x v="1"/>
    <x v="2"/>
    <n v="6"/>
    <n v="4697"/>
    <n v="28182"/>
    <x v="2"/>
  </r>
  <r>
    <x v="123"/>
    <x v="123"/>
    <x v="3"/>
    <x v="1"/>
    <x v="3"/>
    <n v="7"/>
    <n v="4866"/>
    <n v="34062"/>
    <x v="0"/>
  </r>
  <r>
    <x v="124"/>
    <x v="124"/>
    <x v="4"/>
    <x v="2"/>
    <x v="0"/>
    <n v="8"/>
    <n v="2616"/>
    <n v="20928"/>
    <x v="1"/>
  </r>
  <r>
    <x v="125"/>
    <x v="125"/>
    <x v="0"/>
    <x v="0"/>
    <x v="1"/>
    <n v="9"/>
    <n v="52676"/>
    <n v="474084"/>
    <x v="0"/>
  </r>
  <r>
    <x v="126"/>
    <x v="126"/>
    <x v="1"/>
    <x v="0"/>
    <x v="0"/>
    <n v="1"/>
    <n v="15702"/>
    <n v="15702"/>
    <x v="1"/>
  </r>
  <r>
    <x v="127"/>
    <x v="127"/>
    <x v="2"/>
    <x v="1"/>
    <x v="3"/>
    <n v="3"/>
    <n v="5044"/>
    <n v="15132"/>
    <x v="2"/>
  </r>
  <r>
    <x v="128"/>
    <x v="128"/>
    <x v="3"/>
    <x v="1"/>
    <x v="2"/>
    <n v="4"/>
    <n v="8871"/>
    <n v="35484"/>
    <x v="0"/>
  </r>
  <r>
    <x v="129"/>
    <x v="129"/>
    <x v="4"/>
    <x v="2"/>
    <x v="1"/>
    <n v="5"/>
    <n v="2885"/>
    <n v="14425"/>
    <x v="1"/>
  </r>
  <r>
    <x v="130"/>
    <x v="130"/>
    <x v="0"/>
    <x v="0"/>
    <x v="0"/>
    <n v="6"/>
    <n v="58079"/>
    <n v="348474"/>
    <x v="0"/>
  </r>
  <r>
    <x v="131"/>
    <x v="131"/>
    <x v="1"/>
    <x v="0"/>
    <x v="1"/>
    <n v="7"/>
    <n v="16659"/>
    <n v="116613"/>
    <x v="1"/>
  </r>
  <r>
    <x v="132"/>
    <x v="132"/>
    <x v="2"/>
    <x v="1"/>
    <x v="2"/>
    <n v="8"/>
    <n v="8804"/>
    <n v="70432"/>
    <x v="2"/>
  </r>
  <r>
    <x v="133"/>
    <x v="133"/>
    <x v="3"/>
    <x v="1"/>
    <x v="3"/>
    <n v="9"/>
    <n v="9908"/>
    <n v="89172"/>
    <x v="0"/>
  </r>
  <r>
    <x v="134"/>
    <x v="134"/>
    <x v="4"/>
    <x v="2"/>
    <x v="0"/>
    <n v="10"/>
    <n v="1209"/>
    <n v="12090"/>
    <x v="1"/>
  </r>
  <r>
    <x v="135"/>
    <x v="135"/>
    <x v="0"/>
    <x v="0"/>
    <x v="1"/>
    <n v="1"/>
    <n v="41002"/>
    <n v="41002"/>
    <x v="0"/>
  </r>
  <r>
    <x v="136"/>
    <x v="136"/>
    <x v="1"/>
    <x v="0"/>
    <x v="0"/>
    <n v="2"/>
    <n v="20415"/>
    <n v="40830"/>
    <x v="1"/>
  </r>
  <r>
    <x v="137"/>
    <x v="137"/>
    <x v="2"/>
    <x v="1"/>
    <x v="3"/>
    <n v="3"/>
    <n v="4067"/>
    <n v="12201"/>
    <x v="2"/>
  </r>
  <r>
    <x v="138"/>
    <x v="138"/>
    <x v="3"/>
    <x v="1"/>
    <x v="2"/>
    <n v="4"/>
    <n v="8678"/>
    <n v="34712"/>
    <x v="0"/>
  </r>
  <r>
    <x v="139"/>
    <x v="139"/>
    <x v="4"/>
    <x v="2"/>
    <x v="1"/>
    <n v="5"/>
    <n v="2365"/>
    <n v="11825"/>
    <x v="1"/>
  </r>
  <r>
    <x v="140"/>
    <x v="140"/>
    <x v="0"/>
    <x v="0"/>
    <x v="0"/>
    <n v="6"/>
    <n v="41895"/>
    <n v="251370"/>
    <x v="0"/>
  </r>
  <r>
    <x v="141"/>
    <x v="141"/>
    <x v="1"/>
    <x v="0"/>
    <x v="1"/>
    <n v="7"/>
    <n v="28382"/>
    <n v="198674"/>
    <x v="1"/>
  </r>
  <r>
    <x v="142"/>
    <x v="142"/>
    <x v="2"/>
    <x v="1"/>
    <x v="2"/>
    <n v="8"/>
    <n v="6067"/>
    <n v="48536"/>
    <x v="2"/>
  </r>
  <r>
    <x v="143"/>
    <x v="143"/>
    <x v="3"/>
    <x v="1"/>
    <x v="3"/>
    <n v="5"/>
    <n v="3347"/>
    <n v="16735"/>
    <x v="0"/>
  </r>
  <r>
    <x v="144"/>
    <x v="144"/>
    <x v="4"/>
    <x v="2"/>
    <x v="0"/>
    <n v="6"/>
    <n v="1800"/>
    <n v="10800"/>
    <x v="1"/>
  </r>
  <r>
    <x v="145"/>
    <x v="145"/>
    <x v="0"/>
    <x v="0"/>
    <x v="1"/>
    <n v="7"/>
    <n v="40931"/>
    <n v="286517"/>
    <x v="0"/>
  </r>
  <r>
    <x v="146"/>
    <x v="146"/>
    <x v="1"/>
    <x v="0"/>
    <x v="0"/>
    <n v="8"/>
    <n v="20618"/>
    <n v="164944"/>
    <x v="1"/>
  </r>
  <r>
    <x v="147"/>
    <x v="147"/>
    <x v="2"/>
    <x v="1"/>
    <x v="3"/>
    <n v="9"/>
    <n v="11539"/>
    <n v="103851"/>
    <x v="2"/>
  </r>
  <r>
    <x v="148"/>
    <x v="148"/>
    <x v="3"/>
    <x v="1"/>
    <x v="2"/>
    <n v="10"/>
    <n v="4287"/>
    <n v="42870"/>
    <x v="0"/>
  </r>
  <r>
    <x v="149"/>
    <x v="149"/>
    <x v="4"/>
    <x v="2"/>
    <x v="1"/>
    <n v="1"/>
    <n v="2522"/>
    <n v="2522"/>
    <x v="1"/>
  </r>
  <r>
    <x v="150"/>
    <x v="150"/>
    <x v="0"/>
    <x v="0"/>
    <x v="0"/>
    <n v="2"/>
    <n v="41540"/>
    <n v="83080"/>
    <x v="0"/>
  </r>
  <r>
    <x v="151"/>
    <x v="151"/>
    <x v="1"/>
    <x v="0"/>
    <x v="1"/>
    <n v="3"/>
    <n v="18955"/>
    <n v="56865"/>
    <x v="1"/>
  </r>
  <r>
    <x v="152"/>
    <x v="152"/>
    <x v="2"/>
    <x v="1"/>
    <x v="2"/>
    <n v="4"/>
    <n v="11272"/>
    <n v="45088"/>
    <x v="2"/>
  </r>
  <r>
    <x v="153"/>
    <x v="153"/>
    <x v="3"/>
    <x v="1"/>
    <x v="3"/>
    <n v="5"/>
    <n v="8525"/>
    <n v="42625"/>
    <x v="0"/>
  </r>
  <r>
    <x v="154"/>
    <x v="154"/>
    <x v="4"/>
    <x v="2"/>
    <x v="0"/>
    <n v="6"/>
    <n v="1439"/>
    <n v="8634"/>
    <x v="1"/>
  </r>
  <r>
    <x v="155"/>
    <x v="155"/>
    <x v="0"/>
    <x v="0"/>
    <x v="1"/>
    <n v="7"/>
    <n v="46063"/>
    <n v="322441"/>
    <x v="0"/>
  </r>
  <r>
    <x v="156"/>
    <x v="156"/>
    <x v="1"/>
    <x v="0"/>
    <x v="0"/>
    <n v="8"/>
    <n v="19164"/>
    <n v="153312"/>
    <x v="1"/>
  </r>
  <r>
    <x v="157"/>
    <x v="157"/>
    <x v="2"/>
    <x v="1"/>
    <x v="3"/>
    <n v="9"/>
    <n v="4031"/>
    <n v="36279"/>
    <x v="2"/>
  </r>
  <r>
    <x v="158"/>
    <x v="158"/>
    <x v="3"/>
    <x v="1"/>
    <x v="2"/>
    <n v="10"/>
    <n v="10446"/>
    <n v="104460"/>
    <x v="0"/>
  </r>
  <r>
    <x v="159"/>
    <x v="159"/>
    <x v="4"/>
    <x v="2"/>
    <x v="1"/>
    <n v="1"/>
    <n v="2491"/>
    <n v="2491"/>
    <x v="1"/>
  </r>
  <r>
    <x v="160"/>
    <x v="160"/>
    <x v="0"/>
    <x v="0"/>
    <x v="0"/>
    <n v="2"/>
    <n v="46040"/>
    <n v="92080"/>
    <x v="0"/>
  </r>
  <r>
    <x v="161"/>
    <x v="161"/>
    <x v="1"/>
    <x v="0"/>
    <x v="1"/>
    <n v="3"/>
    <n v="29212"/>
    <n v="87636"/>
    <x v="1"/>
  </r>
  <r>
    <x v="162"/>
    <x v="162"/>
    <x v="2"/>
    <x v="1"/>
    <x v="2"/>
    <n v="4"/>
    <n v="9496"/>
    <n v="37984"/>
    <x v="2"/>
  </r>
  <r>
    <x v="163"/>
    <x v="163"/>
    <x v="3"/>
    <x v="1"/>
    <x v="3"/>
    <n v="5"/>
    <n v="4408"/>
    <n v="22040"/>
    <x v="0"/>
  </r>
  <r>
    <x v="164"/>
    <x v="164"/>
    <x v="4"/>
    <x v="2"/>
    <x v="0"/>
    <n v="6"/>
    <n v="1662"/>
    <n v="9972"/>
    <x v="1"/>
  </r>
  <r>
    <x v="165"/>
    <x v="165"/>
    <x v="0"/>
    <x v="0"/>
    <x v="1"/>
    <n v="7"/>
    <n v="49780"/>
    <n v="348460"/>
    <x v="0"/>
  </r>
  <r>
    <x v="166"/>
    <x v="166"/>
    <x v="1"/>
    <x v="0"/>
    <x v="0"/>
    <n v="8"/>
    <n v="15886"/>
    <n v="127088"/>
    <x v="1"/>
  </r>
  <r>
    <x v="167"/>
    <x v="167"/>
    <x v="2"/>
    <x v="1"/>
    <x v="3"/>
    <n v="9"/>
    <n v="3146"/>
    <n v="28314"/>
    <x v="2"/>
  </r>
  <r>
    <x v="168"/>
    <x v="168"/>
    <x v="3"/>
    <x v="1"/>
    <x v="2"/>
    <n v="10"/>
    <n v="5032"/>
    <n v="50320"/>
    <x v="0"/>
  </r>
  <r>
    <x v="169"/>
    <x v="169"/>
    <x v="4"/>
    <x v="2"/>
    <x v="1"/>
    <n v="11"/>
    <n v="2428"/>
    <n v="26708"/>
    <x v="1"/>
  </r>
  <r>
    <x v="170"/>
    <x v="170"/>
    <x v="0"/>
    <x v="0"/>
    <x v="0"/>
    <n v="4"/>
    <n v="47426"/>
    <n v="189704"/>
    <x v="0"/>
  </r>
  <r>
    <x v="171"/>
    <x v="171"/>
    <x v="1"/>
    <x v="0"/>
    <x v="1"/>
    <n v="5"/>
    <n v="20128"/>
    <n v="100640"/>
    <x v="1"/>
  </r>
  <r>
    <x v="172"/>
    <x v="172"/>
    <x v="2"/>
    <x v="1"/>
    <x v="2"/>
    <n v="6"/>
    <n v="8835"/>
    <n v="53010"/>
    <x v="2"/>
  </r>
  <r>
    <x v="173"/>
    <x v="173"/>
    <x v="3"/>
    <x v="1"/>
    <x v="3"/>
    <n v="7"/>
    <n v="8312"/>
    <n v="58184"/>
    <x v="0"/>
  </r>
  <r>
    <x v="174"/>
    <x v="174"/>
    <x v="4"/>
    <x v="2"/>
    <x v="0"/>
    <n v="8"/>
    <n v="1318"/>
    <n v="10544"/>
    <x v="1"/>
  </r>
  <r>
    <x v="175"/>
    <x v="175"/>
    <x v="0"/>
    <x v="0"/>
    <x v="1"/>
    <n v="9"/>
    <n v="43224"/>
    <n v="389016"/>
    <x v="0"/>
  </r>
  <r>
    <x v="176"/>
    <x v="176"/>
    <x v="1"/>
    <x v="0"/>
    <x v="0"/>
    <n v="10"/>
    <n v="27138"/>
    <n v="271380"/>
    <x v="1"/>
  </r>
  <r>
    <x v="177"/>
    <x v="177"/>
    <x v="2"/>
    <x v="1"/>
    <x v="3"/>
    <n v="1"/>
    <n v="10097"/>
    <n v="10097"/>
    <x v="2"/>
  </r>
  <r>
    <x v="178"/>
    <x v="178"/>
    <x v="3"/>
    <x v="1"/>
    <x v="2"/>
    <n v="2"/>
    <n v="11333"/>
    <n v="22666"/>
    <x v="0"/>
  </r>
  <r>
    <x v="179"/>
    <x v="179"/>
    <x v="4"/>
    <x v="2"/>
    <x v="1"/>
    <n v="3"/>
    <n v="1696"/>
    <n v="5088"/>
    <x v="1"/>
  </r>
  <r>
    <x v="180"/>
    <x v="180"/>
    <x v="0"/>
    <x v="0"/>
    <x v="0"/>
    <n v="4"/>
    <n v="46301"/>
    <n v="185204"/>
    <x v="0"/>
  </r>
  <r>
    <x v="181"/>
    <x v="181"/>
    <x v="1"/>
    <x v="0"/>
    <x v="1"/>
    <n v="5"/>
    <n v="25653"/>
    <n v="128265"/>
    <x v="1"/>
  </r>
  <r>
    <x v="182"/>
    <x v="182"/>
    <x v="2"/>
    <x v="1"/>
    <x v="2"/>
    <n v="6"/>
    <n v="4719"/>
    <n v="28314"/>
    <x v="2"/>
  </r>
  <r>
    <x v="183"/>
    <x v="183"/>
    <x v="3"/>
    <x v="1"/>
    <x v="3"/>
    <n v="7"/>
    <n v="6401"/>
    <n v="44807"/>
    <x v="0"/>
  </r>
  <r>
    <x v="184"/>
    <x v="184"/>
    <x v="4"/>
    <x v="2"/>
    <x v="0"/>
    <n v="8"/>
    <n v="1561"/>
    <n v="12488"/>
    <x v="1"/>
  </r>
  <r>
    <x v="185"/>
    <x v="185"/>
    <x v="0"/>
    <x v="0"/>
    <x v="1"/>
    <n v="9"/>
    <n v="41067"/>
    <n v="369603"/>
    <x v="0"/>
  </r>
  <r>
    <x v="186"/>
    <x v="186"/>
    <x v="1"/>
    <x v="0"/>
    <x v="0"/>
    <n v="10"/>
    <n v="17791"/>
    <n v="177910"/>
    <x v="1"/>
  </r>
  <r>
    <x v="187"/>
    <x v="187"/>
    <x v="2"/>
    <x v="1"/>
    <x v="3"/>
    <n v="3"/>
    <n v="6175"/>
    <n v="18525"/>
    <x v="2"/>
  </r>
  <r>
    <x v="188"/>
    <x v="188"/>
    <x v="3"/>
    <x v="1"/>
    <x v="2"/>
    <n v="3"/>
    <n v="4568"/>
    <n v="13704"/>
    <x v="0"/>
  </r>
  <r>
    <x v="189"/>
    <x v="189"/>
    <x v="4"/>
    <x v="2"/>
    <x v="1"/>
    <n v="4"/>
    <n v="1727"/>
    <n v="6908"/>
    <x v="1"/>
  </r>
  <r>
    <x v="190"/>
    <x v="190"/>
    <x v="0"/>
    <x v="0"/>
    <x v="0"/>
    <n v="5"/>
    <n v="57454"/>
    <n v="287270"/>
    <x v="0"/>
  </r>
  <r>
    <x v="191"/>
    <x v="191"/>
    <x v="1"/>
    <x v="0"/>
    <x v="1"/>
    <n v="6"/>
    <n v="23567"/>
    <n v="141402"/>
    <x v="1"/>
  </r>
  <r>
    <x v="192"/>
    <x v="192"/>
    <x v="2"/>
    <x v="1"/>
    <x v="2"/>
    <n v="7"/>
    <n v="6110"/>
    <n v="42770"/>
    <x v="2"/>
  </r>
  <r>
    <x v="193"/>
    <x v="193"/>
    <x v="3"/>
    <x v="1"/>
    <x v="3"/>
    <n v="2"/>
    <n v="5169"/>
    <n v="10338"/>
    <x v="0"/>
  </r>
  <r>
    <x v="194"/>
    <x v="194"/>
    <x v="4"/>
    <x v="2"/>
    <x v="0"/>
    <n v="3"/>
    <n v="841"/>
    <n v="2523"/>
    <x v="1"/>
  </r>
  <r>
    <x v="195"/>
    <x v="195"/>
    <x v="0"/>
    <x v="0"/>
    <x v="1"/>
    <n v="5"/>
    <n v="42502"/>
    <n v="212510"/>
    <x v="0"/>
  </r>
  <r>
    <x v="196"/>
    <x v="196"/>
    <x v="1"/>
    <x v="0"/>
    <x v="0"/>
    <n v="4"/>
    <n v="17517"/>
    <n v="70068"/>
    <x v="1"/>
  </r>
  <r>
    <x v="197"/>
    <x v="197"/>
    <x v="2"/>
    <x v="1"/>
    <x v="3"/>
    <n v="2"/>
    <n v="11221"/>
    <n v="22442"/>
    <x v="2"/>
  </r>
  <r>
    <x v="198"/>
    <x v="198"/>
    <x v="3"/>
    <x v="1"/>
    <x v="2"/>
    <n v="3"/>
    <n v="4097"/>
    <n v="12291"/>
    <x v="0"/>
  </r>
  <r>
    <x v="199"/>
    <x v="199"/>
    <x v="4"/>
    <x v="2"/>
    <x v="1"/>
    <n v="1"/>
    <n v="1296"/>
    <n v="1296"/>
    <x v="1"/>
  </r>
  <r>
    <x v="200"/>
    <x v="200"/>
    <x v="0"/>
    <x v="0"/>
    <x v="0"/>
    <n v="1"/>
    <n v="43148"/>
    <n v="43148"/>
    <x v="0"/>
  </r>
  <r>
    <x v="201"/>
    <x v="201"/>
    <x v="1"/>
    <x v="0"/>
    <x v="1"/>
    <n v="1"/>
    <n v="27594"/>
    <n v="27594"/>
    <x v="1"/>
  </r>
  <r>
    <x v="202"/>
    <x v="202"/>
    <x v="2"/>
    <x v="1"/>
    <x v="2"/>
    <n v="1"/>
    <n v="3046"/>
    <n v="3046"/>
    <x v="2"/>
  </r>
  <r>
    <x v="203"/>
    <x v="203"/>
    <x v="3"/>
    <x v="1"/>
    <x v="3"/>
    <n v="1"/>
    <n v="9683"/>
    <n v="9683"/>
    <x v="0"/>
  </r>
  <r>
    <x v="204"/>
    <x v="204"/>
    <x v="4"/>
    <x v="2"/>
    <x v="0"/>
    <n v="1"/>
    <n v="2637"/>
    <n v="2637"/>
    <x v="1"/>
  </r>
  <r>
    <x v="205"/>
    <x v="205"/>
    <x v="0"/>
    <x v="0"/>
    <x v="1"/>
    <n v="1"/>
    <n v="56433"/>
    <n v="56433"/>
    <x v="0"/>
  </r>
  <r>
    <x v="206"/>
    <x v="206"/>
    <x v="1"/>
    <x v="0"/>
    <x v="0"/>
    <n v="1"/>
    <n v="16943"/>
    <n v="16943"/>
    <x v="1"/>
  </r>
  <r>
    <x v="207"/>
    <x v="207"/>
    <x v="2"/>
    <x v="1"/>
    <x v="3"/>
    <n v="1"/>
    <n v="5117"/>
    <n v="5117"/>
    <x v="2"/>
  </r>
  <r>
    <x v="208"/>
    <x v="208"/>
    <x v="3"/>
    <x v="1"/>
    <x v="2"/>
    <n v="1"/>
    <n v="4673"/>
    <n v="4673"/>
    <x v="0"/>
  </r>
  <r>
    <x v="209"/>
    <x v="209"/>
    <x v="4"/>
    <x v="2"/>
    <x v="1"/>
    <n v="2"/>
    <n v="1727"/>
    <n v="3454"/>
    <x v="1"/>
  </r>
  <r>
    <x v="210"/>
    <x v="210"/>
    <x v="0"/>
    <x v="0"/>
    <x v="0"/>
    <n v="2"/>
    <n v="40616"/>
    <n v="81232"/>
    <x v="0"/>
  </r>
  <r>
    <x v="211"/>
    <x v="211"/>
    <x v="1"/>
    <x v="0"/>
    <x v="1"/>
    <n v="2"/>
    <n v="28212"/>
    <n v="56424"/>
    <x v="1"/>
  </r>
  <r>
    <x v="212"/>
    <x v="212"/>
    <x v="2"/>
    <x v="1"/>
    <x v="2"/>
    <n v="3"/>
    <n v="8253"/>
    <n v="24759"/>
    <x v="2"/>
  </r>
  <r>
    <x v="213"/>
    <x v="213"/>
    <x v="3"/>
    <x v="1"/>
    <x v="3"/>
    <n v="5"/>
    <n v="8121"/>
    <n v="40605"/>
    <x v="0"/>
  </r>
  <r>
    <x v="214"/>
    <x v="214"/>
    <x v="4"/>
    <x v="2"/>
    <x v="0"/>
    <n v="5"/>
    <n v="1093"/>
    <n v="5465"/>
    <x v="1"/>
  </r>
  <r>
    <x v="215"/>
    <x v="215"/>
    <x v="0"/>
    <x v="0"/>
    <x v="1"/>
    <n v="5"/>
    <n v="52895"/>
    <n v="264475"/>
    <x v="0"/>
  </r>
  <r>
    <x v="216"/>
    <x v="216"/>
    <x v="1"/>
    <x v="0"/>
    <x v="0"/>
    <n v="6"/>
    <n v="20078"/>
    <n v="120468"/>
    <x v="1"/>
  </r>
  <r>
    <x v="217"/>
    <x v="217"/>
    <x v="2"/>
    <x v="1"/>
    <x v="3"/>
    <n v="3"/>
    <n v="4780"/>
    <n v="14340"/>
    <x v="2"/>
  </r>
  <r>
    <x v="218"/>
    <x v="218"/>
    <x v="3"/>
    <x v="1"/>
    <x v="2"/>
    <n v="3"/>
    <n v="5890"/>
    <n v="17670"/>
    <x v="0"/>
  </r>
  <r>
    <x v="219"/>
    <x v="219"/>
    <x v="4"/>
    <x v="2"/>
    <x v="1"/>
    <n v="2"/>
    <n v="1611"/>
    <n v="3222"/>
    <x v="1"/>
  </r>
  <r>
    <x v="220"/>
    <x v="220"/>
    <x v="0"/>
    <x v="0"/>
    <x v="0"/>
    <n v="4"/>
    <n v="47610"/>
    <n v="190440"/>
    <x v="0"/>
  </r>
  <r>
    <x v="221"/>
    <x v="221"/>
    <x v="1"/>
    <x v="0"/>
    <x v="1"/>
    <n v="4"/>
    <n v="28102"/>
    <n v="112408"/>
    <x v="1"/>
  </r>
  <r>
    <x v="222"/>
    <x v="222"/>
    <x v="2"/>
    <x v="1"/>
    <x v="2"/>
    <n v="7"/>
    <n v="8146"/>
    <n v="57022"/>
    <x v="2"/>
  </r>
  <r>
    <x v="223"/>
    <x v="223"/>
    <x v="3"/>
    <x v="1"/>
    <x v="3"/>
    <n v="7"/>
    <n v="3101"/>
    <n v="21707"/>
    <x v="0"/>
  </r>
  <r>
    <x v="224"/>
    <x v="224"/>
    <x v="4"/>
    <x v="2"/>
    <x v="0"/>
    <n v="5"/>
    <n v="1371"/>
    <n v="6855"/>
    <x v="1"/>
  </r>
  <r>
    <x v="225"/>
    <x v="225"/>
    <x v="0"/>
    <x v="0"/>
    <x v="1"/>
    <n v="9"/>
    <n v="48324"/>
    <n v="434916"/>
    <x v="0"/>
  </r>
  <r>
    <x v="226"/>
    <x v="226"/>
    <x v="1"/>
    <x v="0"/>
    <x v="0"/>
    <n v="8"/>
    <n v="26722"/>
    <n v="213776"/>
    <x v="1"/>
  </r>
  <r>
    <x v="227"/>
    <x v="227"/>
    <x v="2"/>
    <x v="1"/>
    <x v="3"/>
    <n v="7"/>
    <n v="7905"/>
    <n v="55335"/>
    <x v="2"/>
  </r>
  <r>
    <x v="228"/>
    <x v="228"/>
    <x v="3"/>
    <x v="1"/>
    <x v="2"/>
    <n v="6"/>
    <n v="6933"/>
    <n v="41598"/>
    <x v="0"/>
  </r>
  <r>
    <x v="229"/>
    <x v="229"/>
    <x v="4"/>
    <x v="2"/>
    <x v="1"/>
    <n v="1"/>
    <n v="2993"/>
    <n v="2993"/>
    <x v="1"/>
  </r>
  <r>
    <x v="230"/>
    <x v="230"/>
    <x v="0"/>
    <x v="0"/>
    <x v="0"/>
    <n v="1"/>
    <n v="41721"/>
    <n v="41721"/>
    <x v="0"/>
  </r>
  <r>
    <x v="231"/>
    <x v="231"/>
    <x v="1"/>
    <x v="0"/>
    <x v="1"/>
    <n v="4"/>
    <n v="18134"/>
    <n v="72536"/>
    <x v="1"/>
  </r>
  <r>
    <x v="232"/>
    <x v="232"/>
    <x v="2"/>
    <x v="1"/>
    <x v="2"/>
    <n v="5"/>
    <n v="9490"/>
    <n v="47450"/>
    <x v="2"/>
  </r>
  <r>
    <x v="233"/>
    <x v="233"/>
    <x v="3"/>
    <x v="1"/>
    <x v="3"/>
    <n v="6"/>
    <n v="4065"/>
    <n v="24390"/>
    <x v="0"/>
  </r>
  <r>
    <x v="234"/>
    <x v="234"/>
    <x v="4"/>
    <x v="2"/>
    <x v="0"/>
    <n v="7"/>
    <n v="1004"/>
    <n v="7028"/>
    <x v="1"/>
  </r>
  <r>
    <x v="235"/>
    <x v="235"/>
    <x v="0"/>
    <x v="0"/>
    <x v="1"/>
    <n v="3"/>
    <n v="56255"/>
    <n v="168765"/>
    <x v="0"/>
  </r>
  <r>
    <x v="236"/>
    <x v="236"/>
    <x v="1"/>
    <x v="0"/>
    <x v="0"/>
    <n v="8"/>
    <n v="18342"/>
    <n v="146736"/>
    <x v="1"/>
  </r>
  <r>
    <x v="237"/>
    <x v="237"/>
    <x v="2"/>
    <x v="1"/>
    <x v="3"/>
    <n v="9"/>
    <n v="11387"/>
    <n v="102483"/>
    <x v="2"/>
  </r>
  <r>
    <x v="238"/>
    <x v="238"/>
    <x v="3"/>
    <x v="1"/>
    <x v="2"/>
    <n v="5"/>
    <n v="3401"/>
    <n v="17005"/>
    <x v="0"/>
  </r>
  <r>
    <x v="239"/>
    <x v="239"/>
    <x v="4"/>
    <x v="2"/>
    <x v="1"/>
    <n v="6"/>
    <n v="2161"/>
    <n v="12966"/>
    <x v="1"/>
  </r>
  <r>
    <x v="240"/>
    <x v="240"/>
    <x v="0"/>
    <x v="0"/>
    <x v="0"/>
    <n v="3"/>
    <n v="42200"/>
    <n v="126600"/>
    <x v="0"/>
  </r>
  <r>
    <x v="241"/>
    <x v="241"/>
    <x v="1"/>
    <x v="0"/>
    <x v="1"/>
    <n v="4"/>
    <n v="17774"/>
    <n v="71096"/>
    <x v="1"/>
  </r>
  <r>
    <x v="242"/>
    <x v="242"/>
    <x v="2"/>
    <x v="1"/>
    <x v="2"/>
    <n v="5"/>
    <n v="7116"/>
    <n v="35580"/>
    <x v="2"/>
  </r>
  <r>
    <x v="243"/>
    <x v="243"/>
    <x v="3"/>
    <x v="1"/>
    <x v="3"/>
    <n v="6"/>
    <n v="9295"/>
    <n v="55770"/>
    <x v="0"/>
  </r>
  <r>
    <x v="244"/>
    <x v="244"/>
    <x v="4"/>
    <x v="2"/>
    <x v="0"/>
    <n v="7"/>
    <n v="2494"/>
    <n v="17458"/>
    <x v="1"/>
  </r>
  <r>
    <x v="245"/>
    <x v="245"/>
    <x v="0"/>
    <x v="0"/>
    <x v="1"/>
    <n v="3"/>
    <n v="47418"/>
    <n v="142254"/>
    <x v="0"/>
  </r>
  <r>
    <x v="246"/>
    <x v="246"/>
    <x v="1"/>
    <x v="0"/>
    <x v="0"/>
    <n v="2"/>
    <n v="21485"/>
    <n v="42970"/>
    <x v="1"/>
  </r>
  <r>
    <x v="247"/>
    <x v="247"/>
    <x v="2"/>
    <x v="1"/>
    <x v="3"/>
    <n v="3"/>
    <n v="9337"/>
    <n v="28011"/>
    <x v="2"/>
  </r>
  <r>
    <x v="248"/>
    <x v="248"/>
    <x v="3"/>
    <x v="1"/>
    <x v="2"/>
    <n v="2"/>
    <n v="11532"/>
    <n v="23064"/>
    <x v="0"/>
  </r>
  <r>
    <x v="249"/>
    <x v="249"/>
    <x v="4"/>
    <x v="2"/>
    <x v="1"/>
    <n v="1"/>
    <n v="1375"/>
    <n v="1375"/>
    <x v="1"/>
  </r>
  <r>
    <x v="250"/>
    <x v="250"/>
    <x v="0"/>
    <x v="0"/>
    <x v="0"/>
    <n v="7"/>
    <n v="50623"/>
    <n v="354361"/>
    <x v="0"/>
  </r>
  <r>
    <x v="251"/>
    <x v="251"/>
    <x v="1"/>
    <x v="0"/>
    <x v="1"/>
    <n v="6"/>
    <n v="26579"/>
    <n v="159474"/>
    <x v="1"/>
  </r>
  <r>
    <x v="252"/>
    <x v="252"/>
    <x v="2"/>
    <x v="1"/>
    <x v="2"/>
    <n v="3"/>
    <n v="6530"/>
    <n v="19590"/>
    <x v="2"/>
  </r>
  <r>
    <x v="253"/>
    <x v="253"/>
    <x v="3"/>
    <x v="1"/>
    <x v="3"/>
    <n v="4"/>
    <n v="7835"/>
    <n v="31340"/>
    <x v="0"/>
  </r>
  <r>
    <x v="254"/>
    <x v="254"/>
    <x v="4"/>
    <x v="2"/>
    <x v="0"/>
    <n v="2"/>
    <n v="2017"/>
    <n v="4034"/>
    <x v="1"/>
  </r>
  <r>
    <x v="255"/>
    <x v="255"/>
    <x v="0"/>
    <x v="0"/>
    <x v="1"/>
    <n v="9"/>
    <n v="57377"/>
    <n v="516393"/>
    <x v="0"/>
  </r>
  <r>
    <x v="256"/>
    <x v="256"/>
    <x v="1"/>
    <x v="0"/>
    <x v="0"/>
    <n v="7"/>
    <n v="25452"/>
    <n v="178164"/>
    <x v="1"/>
  </r>
  <r>
    <x v="257"/>
    <x v="257"/>
    <x v="2"/>
    <x v="1"/>
    <x v="3"/>
    <n v="5"/>
    <n v="11368"/>
    <n v="56840"/>
    <x v="2"/>
  </r>
  <r>
    <x v="258"/>
    <x v="258"/>
    <x v="3"/>
    <x v="1"/>
    <x v="2"/>
    <n v="3"/>
    <n v="4292"/>
    <n v="12876"/>
    <x v="0"/>
  </r>
  <r>
    <x v="259"/>
    <x v="259"/>
    <x v="4"/>
    <x v="2"/>
    <x v="1"/>
    <n v="2"/>
    <n v="1247"/>
    <n v="2494"/>
    <x v="1"/>
  </r>
  <r>
    <x v="260"/>
    <x v="260"/>
    <x v="0"/>
    <x v="0"/>
    <x v="0"/>
    <n v="3"/>
    <n v="57885"/>
    <n v="173655"/>
    <x v="0"/>
  </r>
  <r>
    <x v="261"/>
    <x v="261"/>
    <x v="1"/>
    <x v="0"/>
    <x v="1"/>
    <n v="4"/>
    <n v="24546"/>
    <n v="98184"/>
    <x v="1"/>
  </r>
  <r>
    <x v="262"/>
    <x v="262"/>
    <x v="2"/>
    <x v="1"/>
    <x v="2"/>
    <n v="6"/>
    <n v="9582"/>
    <n v="57492"/>
    <x v="2"/>
  </r>
  <r>
    <x v="263"/>
    <x v="263"/>
    <x v="3"/>
    <x v="1"/>
    <x v="3"/>
    <n v="1"/>
    <n v="8398"/>
    <n v="8398"/>
    <x v="0"/>
  </r>
  <r>
    <x v="264"/>
    <x v="264"/>
    <x v="4"/>
    <x v="2"/>
    <x v="0"/>
    <n v="2"/>
    <n v="1977"/>
    <n v="3954"/>
    <x v="1"/>
  </r>
  <r>
    <x v="265"/>
    <x v="265"/>
    <x v="0"/>
    <x v="0"/>
    <x v="1"/>
    <n v="3"/>
    <n v="54489"/>
    <n v="163467"/>
    <x v="0"/>
  </r>
  <r>
    <x v="266"/>
    <x v="266"/>
    <x v="1"/>
    <x v="0"/>
    <x v="0"/>
    <n v="4"/>
    <n v="21672"/>
    <n v="86688"/>
    <x v="1"/>
  </r>
  <r>
    <x v="267"/>
    <x v="267"/>
    <x v="2"/>
    <x v="1"/>
    <x v="3"/>
    <n v="6"/>
    <n v="11826"/>
    <n v="70956"/>
    <x v="2"/>
  </r>
  <r>
    <x v="268"/>
    <x v="268"/>
    <x v="3"/>
    <x v="1"/>
    <x v="2"/>
    <n v="1"/>
    <n v="6523"/>
    <n v="6523"/>
    <x v="0"/>
  </r>
  <r>
    <x v="269"/>
    <x v="269"/>
    <x v="4"/>
    <x v="2"/>
    <x v="1"/>
    <n v="3"/>
    <n v="1336"/>
    <n v="4008"/>
    <x v="1"/>
  </r>
  <r>
    <x v="270"/>
    <x v="270"/>
    <x v="0"/>
    <x v="0"/>
    <x v="0"/>
    <n v="8"/>
    <n v="57887"/>
    <n v="463096"/>
    <x v="0"/>
  </r>
  <r>
    <x v="271"/>
    <x v="271"/>
    <x v="1"/>
    <x v="0"/>
    <x v="1"/>
    <n v="9"/>
    <n v="22761"/>
    <n v="204849"/>
    <x v="1"/>
  </r>
  <r>
    <x v="272"/>
    <x v="272"/>
    <x v="2"/>
    <x v="1"/>
    <x v="2"/>
    <n v="4"/>
    <n v="10709"/>
    <n v="42836"/>
    <x v="2"/>
  </r>
  <r>
    <x v="273"/>
    <x v="273"/>
    <x v="3"/>
    <x v="1"/>
    <x v="3"/>
    <n v="3"/>
    <n v="6344"/>
    <n v="19032"/>
    <x v="0"/>
  </r>
  <r>
    <x v="274"/>
    <x v="274"/>
    <x v="4"/>
    <x v="2"/>
    <x v="0"/>
    <n v="1"/>
    <n v="2708"/>
    <n v="2708"/>
    <x v="1"/>
  </r>
  <r>
    <x v="275"/>
    <x v="275"/>
    <x v="0"/>
    <x v="0"/>
    <x v="1"/>
    <n v="2"/>
    <n v="43920"/>
    <n v="87840"/>
    <x v="0"/>
  </r>
  <r>
    <x v="276"/>
    <x v="276"/>
    <x v="1"/>
    <x v="0"/>
    <x v="0"/>
    <n v="5"/>
    <n v="25713"/>
    <n v="128565"/>
    <x v="1"/>
  </r>
  <r>
    <x v="277"/>
    <x v="277"/>
    <x v="2"/>
    <x v="1"/>
    <x v="3"/>
    <n v="6"/>
    <n v="7329"/>
    <n v="43974"/>
    <x v="2"/>
  </r>
  <r>
    <x v="278"/>
    <x v="278"/>
    <x v="3"/>
    <x v="1"/>
    <x v="2"/>
    <n v="7"/>
    <n v="3895"/>
    <n v="27265"/>
    <x v="0"/>
  </r>
  <r>
    <x v="279"/>
    <x v="279"/>
    <x v="4"/>
    <x v="2"/>
    <x v="1"/>
    <n v="8"/>
    <n v="1558"/>
    <n v="12464"/>
    <x v="1"/>
  </r>
  <r>
    <x v="280"/>
    <x v="280"/>
    <x v="0"/>
    <x v="0"/>
    <x v="0"/>
    <n v="1"/>
    <n v="47134"/>
    <n v="47134"/>
    <x v="0"/>
  </r>
  <r>
    <x v="281"/>
    <x v="281"/>
    <x v="1"/>
    <x v="0"/>
    <x v="1"/>
    <n v="2"/>
    <n v="22450"/>
    <n v="44900"/>
    <x v="1"/>
  </r>
  <r>
    <x v="282"/>
    <x v="282"/>
    <x v="2"/>
    <x v="1"/>
    <x v="2"/>
    <n v="3"/>
    <n v="10533"/>
    <n v="31599"/>
    <x v="2"/>
  </r>
  <r>
    <x v="283"/>
    <x v="283"/>
    <x v="3"/>
    <x v="1"/>
    <x v="3"/>
    <n v="3"/>
    <n v="8069"/>
    <n v="24207"/>
    <x v="0"/>
  </r>
  <r>
    <x v="284"/>
    <x v="284"/>
    <x v="4"/>
    <x v="2"/>
    <x v="0"/>
    <n v="4"/>
    <n v="1746"/>
    <n v="6984"/>
    <x v="1"/>
  </r>
  <r>
    <x v="285"/>
    <x v="285"/>
    <x v="0"/>
    <x v="0"/>
    <x v="1"/>
    <n v="6"/>
    <n v="59569"/>
    <n v="357414"/>
    <x v="0"/>
  </r>
  <r>
    <x v="286"/>
    <x v="286"/>
    <x v="1"/>
    <x v="0"/>
    <x v="0"/>
    <n v="4"/>
    <n v="28835"/>
    <n v="115340"/>
    <x v="1"/>
  </r>
  <r>
    <x v="287"/>
    <x v="287"/>
    <x v="2"/>
    <x v="1"/>
    <x v="3"/>
    <n v="7"/>
    <n v="8094"/>
    <n v="56658"/>
    <x v="2"/>
  </r>
  <r>
    <x v="288"/>
    <x v="288"/>
    <x v="3"/>
    <x v="1"/>
    <x v="2"/>
    <n v="8"/>
    <n v="3624"/>
    <n v="28992"/>
    <x v="0"/>
  </r>
  <r>
    <x v="289"/>
    <x v="289"/>
    <x v="4"/>
    <x v="2"/>
    <x v="1"/>
    <n v="7"/>
    <n v="1487"/>
    <n v="10409"/>
    <x v="1"/>
  </r>
  <r>
    <x v="290"/>
    <x v="290"/>
    <x v="0"/>
    <x v="0"/>
    <x v="0"/>
    <n v="1"/>
    <n v="48808"/>
    <n v="48808"/>
    <x v="0"/>
  </r>
  <r>
    <x v="291"/>
    <x v="291"/>
    <x v="1"/>
    <x v="0"/>
    <x v="1"/>
    <n v="1"/>
    <n v="22123"/>
    <n v="22123"/>
    <x v="1"/>
  </r>
  <r>
    <x v="292"/>
    <x v="292"/>
    <x v="2"/>
    <x v="1"/>
    <x v="2"/>
    <n v="2"/>
    <n v="10683"/>
    <n v="21366"/>
    <x v="2"/>
  </r>
  <r>
    <x v="293"/>
    <x v="293"/>
    <x v="3"/>
    <x v="1"/>
    <x v="3"/>
    <n v="2"/>
    <n v="4001"/>
    <n v="8002"/>
    <x v="0"/>
  </r>
  <r>
    <x v="294"/>
    <x v="294"/>
    <x v="4"/>
    <x v="2"/>
    <x v="0"/>
    <n v="2"/>
    <n v="2469"/>
    <n v="4938"/>
    <x v="1"/>
  </r>
  <r>
    <x v="295"/>
    <x v="295"/>
    <x v="0"/>
    <x v="0"/>
    <x v="1"/>
    <n v="3"/>
    <n v="45383"/>
    <n v="136149"/>
    <x v="0"/>
  </r>
  <r>
    <x v="296"/>
    <x v="296"/>
    <x v="1"/>
    <x v="0"/>
    <x v="0"/>
    <n v="3"/>
    <n v="21382"/>
    <n v="64146"/>
    <x v="1"/>
  </r>
  <r>
    <x v="297"/>
    <x v="297"/>
    <x v="2"/>
    <x v="1"/>
    <x v="3"/>
    <n v="3"/>
    <n v="3245"/>
    <n v="9735"/>
    <x v="2"/>
  </r>
  <r>
    <x v="298"/>
    <x v="298"/>
    <x v="3"/>
    <x v="1"/>
    <x v="2"/>
    <n v="1"/>
    <n v="5594"/>
    <n v="5594"/>
    <x v="0"/>
  </r>
  <r>
    <x v="299"/>
    <x v="299"/>
    <x v="4"/>
    <x v="2"/>
    <x v="1"/>
    <n v="1"/>
    <n v="1479"/>
    <n v="147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311FE-6B16-433C-BE1E-19BE49F1E64F}" name="PivotTable1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9" firstHeaderRow="1" firstDataRow="1" firstDataCol="1"/>
  <pivotFields count="9">
    <pivotField compact="0" numFmtId="14" outline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outline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compact="0" outline="0" showAll="0">
      <items count="6">
        <item x="2"/>
        <item x="4"/>
        <item x="0"/>
        <item x="1"/>
        <item x="3"/>
        <item t="default"/>
      </items>
    </pivotField>
    <pivotField compact="0" outline="0" showAll="0">
      <items count="4">
        <item x="2"/>
        <item x="0"/>
        <item x="1"/>
        <item t="default"/>
      </items>
    </pivotField>
    <pivotField compact="0" outline="0" showAll="0">
      <items count="5">
        <item x="3"/>
        <item x="1"/>
        <item x="0"/>
        <item x="2"/>
        <item t="default"/>
      </items>
    </pivotField>
    <pivotField compact="0" numFmtId="2" outline="0" showAll="0"/>
    <pivotField compact="0" numFmtId="164" outline="0" showAll="0"/>
    <pivotField dataField="1" compact="0" numFmtId="164" outline="0" showAll="0"/>
    <pivotField compact="0" outline="0" showAll="0">
      <items count="4">
        <item x="1"/>
        <item x="2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7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2CE7A-8A5F-48F3-8330-D924031DFD5C}" name="PivotTable1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8" firstHeaderRow="1" firstDataRow="1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numFmtId="2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 numFmtId="164"/>
  </dataField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56D38D-217D-442E-A12C-424A465E542A}" name="PivotTable2" cacheId="3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304" firstHeaderRow="1" firstDataRow="1" firstDataCol="1"/>
  <pivotFields count="9">
    <pivotField name="Date" axis="axisRow" compact="0" numFmtId="14" outline="0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0"/>
  </rowFields>
  <rowItems count="3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 t="grand">
      <x/>
    </i>
  </rowItems>
  <colItems count="1">
    <i/>
  </colItems>
  <dataFields count="1">
    <dataField name="Sum of Total_Sales" fld="7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BF16E-914A-4818-9610-D988498325A4}" name="Table1" displayName="Table1" ref="A1:I301" totalsRowShown="0" headerRowDxfId="5">
  <autoFilter ref="A1:I301" xr:uid="{D9FBF16E-914A-4818-9610-D988498325A4}"/>
  <tableColumns count="9">
    <tableColumn id="1" xr3:uid="{5F71897F-8379-44EF-9CBE-38C77D73DC03}" name="Data" dataDxfId="4"/>
    <tableColumn id="2" xr3:uid="{AA60E31B-C2B7-429F-B9CC-9A2DAF60F70B}" name="Order_ID">
      <calculatedColumnFormula>"ORD"&amp;TEXT(ROW()-1,"000")</calculatedColumnFormula>
    </tableColumn>
    <tableColumn id="3" xr3:uid="{12BB15A0-DB44-4BD0-BE52-FC9035783CC2}" name="Product"/>
    <tableColumn id="4" xr3:uid="{362B36AC-6464-4184-BBDE-5CC2240CAB57}" name="Category"/>
    <tableColumn id="5" xr3:uid="{D36A8B94-F5D8-4271-BFC8-77C8CE87E6DC}" name="Region"/>
    <tableColumn id="6" xr3:uid="{5C3025D6-9EB2-4F6D-833B-1761F0535DB1}" name="Quantity" dataDxfId="3"/>
    <tableColumn id="7" xr3:uid="{3F08059F-30C7-4C11-B154-3A6EC5E0BBD6}" name="Unit_Price" dataDxfId="2">
      <calculatedColumnFormula>IF(C2= "Laptop",RANDBETWEEN(40000,60000),IF(C2="Mobile",RANDBETWEEN(15000,30000),IF(OR(C2="Chair",C2="Table"),RANDBETWEEN(3000,12000),RANDBETWEEN(800,3000))))</calculatedColumnFormula>
    </tableColumn>
    <tableColumn id="8" xr3:uid="{33C8B606-414A-48EF-9F4B-00B5C364C119}" name="Total_Sales" dataDxfId="1"/>
    <tableColumn id="9" xr3:uid="{C2D0B691-7B1A-4482-AC32-90956303484F}" name="Payment_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6A29-7246-4FEA-B95D-F97D3AADCA5F}">
  <dimension ref="A2:B9"/>
  <sheetViews>
    <sheetView topLeftCell="A3" workbookViewId="0">
      <selection activeCell="B22" sqref="B22"/>
    </sheetView>
  </sheetViews>
  <sheetFormatPr defaultRowHeight="15"/>
  <cols>
    <col min="1" max="1" width="18.42578125" customWidth="1"/>
    <col min="2" max="2" width="22.140625" customWidth="1"/>
    <col min="3" max="3" width="17.5703125" bestFit="1" customWidth="1"/>
    <col min="4" max="4" width="16.5703125" bestFit="1" customWidth="1"/>
    <col min="5" max="9" width="17.5703125" bestFit="1" customWidth="1"/>
  </cols>
  <sheetData>
    <row r="2" spans="1:2">
      <c r="A2" s="8" t="s">
        <v>0</v>
      </c>
    </row>
    <row r="3" spans="1:2">
      <c r="A3" s="7" t="s">
        <v>1</v>
      </c>
      <c r="B3" t="s">
        <v>2</v>
      </c>
    </row>
    <row r="4" spans="1:2">
      <c r="A4" t="s">
        <v>3</v>
      </c>
      <c r="B4" s="4">
        <v>2297453</v>
      </c>
    </row>
    <row r="5" spans="1:2">
      <c r="A5" t="s">
        <v>4</v>
      </c>
      <c r="B5" s="4">
        <v>473887</v>
      </c>
    </row>
    <row r="6" spans="1:2">
      <c r="A6" t="s">
        <v>5</v>
      </c>
      <c r="B6" s="4">
        <v>14427393</v>
      </c>
    </row>
    <row r="7" spans="1:2">
      <c r="A7" t="s">
        <v>6</v>
      </c>
      <c r="B7" s="4">
        <v>6900545</v>
      </c>
    </row>
    <row r="8" spans="1:2">
      <c r="A8" t="s">
        <v>7</v>
      </c>
      <c r="B8" s="4">
        <v>2072245</v>
      </c>
    </row>
    <row r="9" spans="1:2">
      <c r="A9" t="s">
        <v>8</v>
      </c>
      <c r="B9" s="4">
        <v>26171523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803E4-50F5-4582-85F5-567F854C2879}">
  <dimension ref="A2:B8"/>
  <sheetViews>
    <sheetView workbookViewId="0">
      <selection activeCell="A3" sqref="A3:B3"/>
    </sheetView>
  </sheetViews>
  <sheetFormatPr defaultRowHeight="15"/>
  <cols>
    <col min="1" max="1" width="14.7109375" bestFit="1" customWidth="1"/>
    <col min="2" max="2" width="17.5703125" bestFit="1" customWidth="1"/>
  </cols>
  <sheetData>
    <row r="2" spans="1:2">
      <c r="A2" s="8" t="s">
        <v>9</v>
      </c>
    </row>
    <row r="3" spans="1:2">
      <c r="A3" s="7" t="s">
        <v>10</v>
      </c>
      <c r="B3" t="s">
        <v>2</v>
      </c>
    </row>
    <row r="4" spans="1:2">
      <c r="A4" t="s">
        <v>11</v>
      </c>
      <c r="B4" s="4">
        <v>2249066</v>
      </c>
    </row>
    <row r="5" spans="1:2">
      <c r="A5" t="s">
        <v>12</v>
      </c>
      <c r="B5" s="4">
        <v>11983822</v>
      </c>
    </row>
    <row r="6" spans="1:2">
      <c r="A6" t="s">
        <v>13</v>
      </c>
      <c r="B6" s="4">
        <v>9818003</v>
      </c>
    </row>
    <row r="7" spans="1:2">
      <c r="A7" t="s">
        <v>14</v>
      </c>
      <c r="B7" s="4">
        <v>2120632</v>
      </c>
    </row>
    <row r="8" spans="1:2">
      <c r="A8" t="s">
        <v>8</v>
      </c>
      <c r="B8" s="4">
        <v>26171523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044A-0A33-4C41-9D41-A47484BE673A}">
  <dimension ref="A2:B304"/>
  <sheetViews>
    <sheetView topLeftCell="A2" workbookViewId="0">
      <selection activeCell="Q16" sqref="Q16"/>
    </sheetView>
  </sheetViews>
  <sheetFormatPr defaultRowHeight="15"/>
  <cols>
    <col min="1" max="1" width="18.7109375" bestFit="1" customWidth="1"/>
    <col min="2" max="2" width="17.5703125" bestFit="1" customWidth="1"/>
  </cols>
  <sheetData>
    <row r="2" spans="1:2">
      <c r="A2" s="9" t="s">
        <v>15</v>
      </c>
    </row>
    <row r="3" spans="1:2">
      <c r="A3" s="7" t="s">
        <v>16</v>
      </c>
      <c r="B3" t="s">
        <v>2</v>
      </c>
    </row>
    <row r="4" spans="1:2">
      <c r="A4" s="2">
        <v>45292</v>
      </c>
      <c r="B4" s="4">
        <v>518508</v>
      </c>
    </row>
    <row r="5" spans="1:2">
      <c r="A5" s="2">
        <v>45293</v>
      </c>
      <c r="B5" s="4">
        <v>143584</v>
      </c>
    </row>
    <row r="6" spans="1:2">
      <c r="A6" s="2">
        <v>45294</v>
      </c>
      <c r="B6" s="4">
        <v>27372</v>
      </c>
    </row>
    <row r="7" spans="1:2">
      <c r="A7" s="2">
        <v>45295</v>
      </c>
      <c r="B7" s="4">
        <v>16524</v>
      </c>
    </row>
    <row r="8" spans="1:2">
      <c r="A8" s="2">
        <v>45296</v>
      </c>
      <c r="B8" s="4">
        <v>2856</v>
      </c>
    </row>
    <row r="9" spans="1:2">
      <c r="A9" s="2">
        <v>45297</v>
      </c>
      <c r="B9" s="4">
        <v>288425</v>
      </c>
    </row>
    <row r="10" spans="1:2">
      <c r="A10" s="2">
        <v>45298</v>
      </c>
      <c r="B10" s="4">
        <v>22481</v>
      </c>
    </row>
    <row r="11" spans="1:2">
      <c r="A11" s="2">
        <v>45299</v>
      </c>
      <c r="B11" s="4">
        <v>30126</v>
      </c>
    </row>
    <row r="12" spans="1:2">
      <c r="A12" s="2">
        <v>45300</v>
      </c>
      <c r="B12" s="4">
        <v>10322</v>
      </c>
    </row>
    <row r="13" spans="1:2">
      <c r="A13" s="2">
        <v>45301</v>
      </c>
      <c r="B13" s="4">
        <v>1827</v>
      </c>
    </row>
    <row r="14" spans="1:2">
      <c r="A14" s="2">
        <v>45302</v>
      </c>
      <c r="B14" s="4">
        <v>91976</v>
      </c>
    </row>
    <row r="15" spans="1:2">
      <c r="A15" s="2">
        <v>45303</v>
      </c>
      <c r="B15" s="4">
        <v>81432</v>
      </c>
    </row>
    <row r="16" spans="1:2">
      <c r="A16" s="2">
        <v>45304</v>
      </c>
      <c r="B16" s="4">
        <v>28760</v>
      </c>
    </row>
    <row r="17" spans="1:2">
      <c r="A17" s="2">
        <v>45305</v>
      </c>
      <c r="B17" s="4">
        <v>26625</v>
      </c>
    </row>
    <row r="18" spans="1:2">
      <c r="A18" s="2">
        <v>45306</v>
      </c>
      <c r="B18" s="4">
        <v>13536</v>
      </c>
    </row>
    <row r="19" spans="1:2">
      <c r="A19" s="2">
        <v>45307</v>
      </c>
      <c r="B19" s="4">
        <v>334355</v>
      </c>
    </row>
    <row r="20" spans="1:2">
      <c r="A20" s="2">
        <v>45308</v>
      </c>
      <c r="B20" s="4">
        <v>168192</v>
      </c>
    </row>
    <row r="21" spans="1:2">
      <c r="A21" s="2">
        <v>45309</v>
      </c>
      <c r="B21" s="4">
        <v>43812</v>
      </c>
    </row>
    <row r="22" spans="1:2">
      <c r="A22" s="2">
        <v>45310</v>
      </c>
      <c r="B22" s="4">
        <v>95830</v>
      </c>
    </row>
    <row r="23" spans="1:2">
      <c r="A23" s="2">
        <v>45311</v>
      </c>
      <c r="B23" s="4">
        <v>2482</v>
      </c>
    </row>
    <row r="24" spans="1:2">
      <c r="A24" s="2">
        <v>45312</v>
      </c>
      <c r="B24" s="4">
        <v>105402</v>
      </c>
    </row>
    <row r="25" spans="1:2">
      <c r="A25" s="2">
        <v>45313</v>
      </c>
      <c r="B25" s="4">
        <v>65940</v>
      </c>
    </row>
    <row r="26" spans="1:2">
      <c r="A26" s="2">
        <v>45314</v>
      </c>
      <c r="B26" s="4">
        <v>31996</v>
      </c>
    </row>
    <row r="27" spans="1:2">
      <c r="A27" s="2">
        <v>45315</v>
      </c>
      <c r="B27" s="4">
        <v>22210</v>
      </c>
    </row>
    <row r="28" spans="1:2">
      <c r="A28" s="2">
        <v>45316</v>
      </c>
      <c r="B28" s="4">
        <v>12042</v>
      </c>
    </row>
    <row r="29" spans="1:2">
      <c r="A29" s="2">
        <v>45317</v>
      </c>
      <c r="B29" s="4">
        <v>332535</v>
      </c>
    </row>
    <row r="30" spans="1:2">
      <c r="A30" s="2">
        <v>45318</v>
      </c>
      <c r="B30" s="4">
        <v>219256</v>
      </c>
    </row>
    <row r="31" spans="1:2">
      <c r="A31" s="2">
        <v>45319</v>
      </c>
      <c r="B31" s="4">
        <v>59283</v>
      </c>
    </row>
    <row r="32" spans="1:2">
      <c r="A32" s="2">
        <v>45320</v>
      </c>
      <c r="B32" s="4">
        <v>37680</v>
      </c>
    </row>
    <row r="33" spans="1:2">
      <c r="A33" s="2">
        <v>45321</v>
      </c>
      <c r="B33" s="4">
        <v>864</v>
      </c>
    </row>
    <row r="34" spans="1:2">
      <c r="A34" s="2">
        <v>45322</v>
      </c>
      <c r="B34" s="4">
        <v>88272</v>
      </c>
    </row>
    <row r="35" spans="1:2">
      <c r="A35" s="2">
        <v>45323</v>
      </c>
      <c r="B35" s="4">
        <v>60222</v>
      </c>
    </row>
    <row r="36" spans="1:2">
      <c r="A36" s="2">
        <v>45324</v>
      </c>
      <c r="B36" s="4">
        <v>19868</v>
      </c>
    </row>
    <row r="37" spans="1:2">
      <c r="A37" s="2">
        <v>45325</v>
      </c>
      <c r="B37" s="4">
        <v>48100</v>
      </c>
    </row>
    <row r="38" spans="1:2">
      <c r="A38" s="2">
        <v>45326</v>
      </c>
      <c r="B38" s="4">
        <v>8148</v>
      </c>
    </row>
    <row r="39" spans="1:2">
      <c r="A39" s="2">
        <v>45327</v>
      </c>
      <c r="B39" s="4">
        <v>360220</v>
      </c>
    </row>
    <row r="40" spans="1:2">
      <c r="A40" s="2">
        <v>45328</v>
      </c>
      <c r="B40" s="4">
        <v>169152</v>
      </c>
    </row>
    <row r="41" spans="1:2">
      <c r="A41" s="2">
        <v>45329</v>
      </c>
      <c r="B41" s="4">
        <v>99027</v>
      </c>
    </row>
    <row r="42" spans="1:2">
      <c r="A42" s="2">
        <v>45330</v>
      </c>
      <c r="B42" s="4">
        <v>92700</v>
      </c>
    </row>
    <row r="43" spans="1:2">
      <c r="A43" s="2">
        <v>45331</v>
      </c>
      <c r="B43" s="4">
        <v>1646</v>
      </c>
    </row>
    <row r="44" spans="1:2">
      <c r="A44" s="2">
        <v>45332</v>
      </c>
      <c r="B44" s="4">
        <v>159801</v>
      </c>
    </row>
    <row r="45" spans="1:2">
      <c r="A45" s="2">
        <v>45333</v>
      </c>
      <c r="B45" s="4">
        <v>85164</v>
      </c>
    </row>
    <row r="46" spans="1:2">
      <c r="A46" s="2">
        <v>45334</v>
      </c>
      <c r="B46" s="4">
        <v>34660</v>
      </c>
    </row>
    <row r="47" spans="1:2">
      <c r="A47" s="2">
        <v>45335</v>
      </c>
      <c r="B47" s="4">
        <v>38358</v>
      </c>
    </row>
    <row r="48" spans="1:2">
      <c r="A48" s="2">
        <v>45336</v>
      </c>
      <c r="B48" s="4">
        <v>13209</v>
      </c>
    </row>
    <row r="49" spans="1:2">
      <c r="A49" s="2">
        <v>45337</v>
      </c>
      <c r="B49" s="4">
        <v>348968</v>
      </c>
    </row>
    <row r="50" spans="1:2">
      <c r="A50" s="2">
        <v>45338</v>
      </c>
      <c r="B50" s="4">
        <v>201798</v>
      </c>
    </row>
    <row r="51" spans="1:2">
      <c r="A51" s="2">
        <v>45339</v>
      </c>
      <c r="B51" s="4">
        <v>40688</v>
      </c>
    </row>
    <row r="52" spans="1:2">
      <c r="A52" s="2">
        <v>45340</v>
      </c>
      <c r="B52" s="4">
        <v>57285</v>
      </c>
    </row>
    <row r="53" spans="1:2">
      <c r="A53" s="2">
        <v>45341</v>
      </c>
      <c r="B53" s="4">
        <v>12894</v>
      </c>
    </row>
    <row r="54" spans="1:2">
      <c r="A54" s="2">
        <v>45342</v>
      </c>
      <c r="B54" s="4">
        <v>377608</v>
      </c>
    </row>
    <row r="55" spans="1:2">
      <c r="A55" s="2">
        <v>45343</v>
      </c>
      <c r="B55" s="4">
        <v>226760</v>
      </c>
    </row>
    <row r="56" spans="1:2">
      <c r="A56" s="2">
        <v>45344</v>
      </c>
      <c r="B56" s="4">
        <v>46269</v>
      </c>
    </row>
    <row r="57" spans="1:2">
      <c r="A57" s="2">
        <v>45345</v>
      </c>
      <c r="B57" s="4">
        <v>79730</v>
      </c>
    </row>
    <row r="58" spans="1:2">
      <c r="A58" s="2">
        <v>45346</v>
      </c>
      <c r="B58" s="4">
        <v>14113</v>
      </c>
    </row>
    <row r="59" spans="1:2">
      <c r="A59" s="2">
        <v>45347</v>
      </c>
      <c r="B59" s="4">
        <v>51899</v>
      </c>
    </row>
    <row r="60" spans="1:2">
      <c r="A60" s="2">
        <v>45348</v>
      </c>
      <c r="B60" s="4">
        <v>51476</v>
      </c>
    </row>
    <row r="61" spans="1:2">
      <c r="A61" s="2">
        <v>45349</v>
      </c>
      <c r="B61" s="4">
        <v>24156</v>
      </c>
    </row>
    <row r="62" spans="1:2">
      <c r="A62" s="2">
        <v>45350</v>
      </c>
      <c r="B62" s="4">
        <v>44988</v>
      </c>
    </row>
    <row r="63" spans="1:2">
      <c r="A63" s="2">
        <v>45351</v>
      </c>
      <c r="B63" s="4">
        <v>8290</v>
      </c>
    </row>
    <row r="64" spans="1:2">
      <c r="A64" s="2">
        <v>45352</v>
      </c>
      <c r="B64" s="4">
        <v>310440</v>
      </c>
    </row>
    <row r="65" spans="1:2">
      <c r="A65" s="2">
        <v>45353</v>
      </c>
      <c r="B65" s="4">
        <v>202993</v>
      </c>
    </row>
    <row r="66" spans="1:2">
      <c r="A66" s="2">
        <v>45354</v>
      </c>
      <c r="B66" s="4">
        <v>76592</v>
      </c>
    </row>
    <row r="67" spans="1:2">
      <c r="A67" s="2">
        <v>45355</v>
      </c>
      <c r="B67" s="4">
        <v>83853</v>
      </c>
    </row>
    <row r="68" spans="1:2">
      <c r="A68" s="2">
        <v>45356</v>
      </c>
      <c r="B68" s="4">
        <v>8060</v>
      </c>
    </row>
    <row r="69" spans="1:2">
      <c r="A69" s="2">
        <v>45357</v>
      </c>
      <c r="B69" s="4">
        <v>604274</v>
      </c>
    </row>
    <row r="70" spans="1:2">
      <c r="A70" s="2">
        <v>45358</v>
      </c>
      <c r="B70" s="4">
        <v>258816</v>
      </c>
    </row>
    <row r="71" spans="1:2">
      <c r="A71" s="2">
        <v>45359</v>
      </c>
      <c r="B71" s="4">
        <v>107783</v>
      </c>
    </row>
    <row r="72" spans="1:2">
      <c r="A72" s="2">
        <v>45360</v>
      </c>
      <c r="B72" s="4">
        <v>48650</v>
      </c>
    </row>
    <row r="73" spans="1:2">
      <c r="A73" s="2">
        <v>45361</v>
      </c>
      <c r="B73" s="4">
        <v>20730</v>
      </c>
    </row>
    <row r="74" spans="1:2">
      <c r="A74" s="2">
        <v>45362</v>
      </c>
      <c r="B74" s="4">
        <v>162816</v>
      </c>
    </row>
    <row r="75" spans="1:2">
      <c r="A75" s="2">
        <v>45363</v>
      </c>
      <c r="B75" s="4">
        <v>82820</v>
      </c>
    </row>
    <row r="76" spans="1:2">
      <c r="A76" s="2">
        <v>45364</v>
      </c>
      <c r="B76" s="4">
        <v>24055</v>
      </c>
    </row>
    <row r="77" spans="1:2">
      <c r="A77" s="2">
        <v>45365</v>
      </c>
      <c r="B77" s="4">
        <v>62682</v>
      </c>
    </row>
    <row r="78" spans="1:2">
      <c r="A78" s="2">
        <v>45366</v>
      </c>
      <c r="B78" s="4">
        <v>11767</v>
      </c>
    </row>
    <row r="79" spans="1:2">
      <c r="A79" s="2">
        <v>45367</v>
      </c>
      <c r="B79" s="4">
        <v>351600</v>
      </c>
    </row>
    <row r="80" spans="1:2">
      <c r="A80" s="2">
        <v>45368</v>
      </c>
      <c r="B80" s="4">
        <v>160947</v>
      </c>
    </row>
    <row r="81" spans="1:2">
      <c r="A81" s="2">
        <v>45369</v>
      </c>
      <c r="B81" s="4">
        <v>8095</v>
      </c>
    </row>
    <row r="82" spans="1:2">
      <c r="A82" s="2">
        <v>45370</v>
      </c>
      <c r="B82" s="4">
        <v>16956</v>
      </c>
    </row>
    <row r="83" spans="1:2">
      <c r="A83" s="2">
        <v>45371</v>
      </c>
      <c r="B83" s="4">
        <v>5109</v>
      </c>
    </row>
    <row r="84" spans="1:2">
      <c r="A84" s="2">
        <v>45372</v>
      </c>
      <c r="B84" s="4">
        <v>212604</v>
      </c>
    </row>
    <row r="85" spans="1:2">
      <c r="A85" s="2">
        <v>45373</v>
      </c>
      <c r="B85" s="4">
        <v>116750</v>
      </c>
    </row>
    <row r="86" spans="1:2">
      <c r="A86" s="2">
        <v>45374</v>
      </c>
      <c r="B86" s="4">
        <v>38605</v>
      </c>
    </row>
    <row r="87" spans="1:2">
      <c r="A87" s="2">
        <v>45375</v>
      </c>
      <c r="B87" s="4">
        <v>38190</v>
      </c>
    </row>
    <row r="88" spans="1:2">
      <c r="A88" s="2">
        <v>45376</v>
      </c>
      <c r="B88" s="4">
        <v>17780</v>
      </c>
    </row>
    <row r="89" spans="1:2">
      <c r="A89" s="2">
        <v>45377</v>
      </c>
      <c r="B89" s="4">
        <v>406624</v>
      </c>
    </row>
    <row r="90" spans="1:2">
      <c r="A90" s="2">
        <v>45378</v>
      </c>
      <c r="B90" s="4">
        <v>103484</v>
      </c>
    </row>
    <row r="91" spans="1:2">
      <c r="A91" s="2">
        <v>45379</v>
      </c>
      <c r="B91" s="4">
        <v>28827</v>
      </c>
    </row>
    <row r="92" spans="1:2">
      <c r="A92" s="2">
        <v>45380</v>
      </c>
      <c r="B92" s="4">
        <v>43520</v>
      </c>
    </row>
    <row r="93" spans="1:2">
      <c r="A93" s="2">
        <v>45381</v>
      </c>
      <c r="B93" s="4">
        <v>11802</v>
      </c>
    </row>
    <row r="94" spans="1:2">
      <c r="A94" s="2">
        <v>45382</v>
      </c>
      <c r="B94" s="4">
        <v>125142</v>
      </c>
    </row>
    <row r="95" spans="1:2">
      <c r="A95" s="2">
        <v>45383</v>
      </c>
      <c r="B95" s="4">
        <v>91845</v>
      </c>
    </row>
    <row r="96" spans="1:2">
      <c r="A96" s="2">
        <v>45384</v>
      </c>
      <c r="B96" s="4">
        <v>33909</v>
      </c>
    </row>
    <row r="97" spans="1:2">
      <c r="A97" s="2">
        <v>45385</v>
      </c>
      <c r="B97" s="4">
        <v>10320</v>
      </c>
    </row>
    <row r="98" spans="1:2">
      <c r="A98" s="2">
        <v>45386</v>
      </c>
      <c r="B98" s="4">
        <v>3408</v>
      </c>
    </row>
    <row r="99" spans="1:2">
      <c r="A99" s="2">
        <v>45387</v>
      </c>
      <c r="B99" s="4">
        <v>145419</v>
      </c>
    </row>
    <row r="100" spans="1:2">
      <c r="A100" s="2">
        <v>45388</v>
      </c>
      <c r="B100" s="4">
        <v>107780</v>
      </c>
    </row>
    <row r="101" spans="1:2">
      <c r="A101" s="2">
        <v>45389</v>
      </c>
      <c r="B101" s="4">
        <v>28848</v>
      </c>
    </row>
    <row r="102" spans="1:2">
      <c r="A102" s="2">
        <v>45390</v>
      </c>
      <c r="B102" s="4">
        <v>34125</v>
      </c>
    </row>
    <row r="103" spans="1:2">
      <c r="A103" s="2">
        <v>45391</v>
      </c>
      <c r="B103" s="4">
        <v>8634</v>
      </c>
    </row>
    <row r="104" spans="1:2">
      <c r="A104" s="2">
        <v>45392</v>
      </c>
      <c r="B104" s="4">
        <v>341565</v>
      </c>
    </row>
    <row r="105" spans="1:2">
      <c r="A105" s="2">
        <v>45393</v>
      </c>
      <c r="B105" s="4">
        <v>124936</v>
      </c>
    </row>
    <row r="106" spans="1:2">
      <c r="A106" s="2">
        <v>45394</v>
      </c>
      <c r="B106" s="4">
        <v>17307</v>
      </c>
    </row>
    <row r="107" spans="1:2">
      <c r="A107" s="2">
        <v>45395</v>
      </c>
      <c r="B107" s="4">
        <v>34353</v>
      </c>
    </row>
    <row r="108" spans="1:2">
      <c r="A108" s="2">
        <v>45396</v>
      </c>
      <c r="B108" s="4">
        <v>4070</v>
      </c>
    </row>
    <row r="109" spans="1:2">
      <c r="A109" s="2">
        <v>45397</v>
      </c>
      <c r="B109" s="4">
        <v>142086</v>
      </c>
    </row>
    <row r="110" spans="1:2">
      <c r="A110" s="2">
        <v>45398</v>
      </c>
      <c r="B110" s="4">
        <v>19579</v>
      </c>
    </row>
    <row r="111" spans="1:2">
      <c r="A111" s="2">
        <v>45399</v>
      </c>
      <c r="B111" s="4">
        <v>8036</v>
      </c>
    </row>
    <row r="112" spans="1:2">
      <c r="A112" s="2">
        <v>45400</v>
      </c>
      <c r="B112" s="4">
        <v>6936</v>
      </c>
    </row>
    <row r="113" spans="1:2">
      <c r="A113" s="2">
        <v>45401</v>
      </c>
      <c r="B113" s="4">
        <v>3208</v>
      </c>
    </row>
    <row r="114" spans="1:2">
      <c r="A114" s="2">
        <v>45402</v>
      </c>
      <c r="B114" s="4">
        <v>157419</v>
      </c>
    </row>
    <row r="115" spans="1:2">
      <c r="A115" s="2">
        <v>45403</v>
      </c>
      <c r="B115" s="4">
        <v>93504</v>
      </c>
    </row>
    <row r="116" spans="1:2">
      <c r="A116" s="2">
        <v>45404</v>
      </c>
      <c r="B116" s="4">
        <v>38628</v>
      </c>
    </row>
    <row r="117" spans="1:2">
      <c r="A117" s="2">
        <v>45405</v>
      </c>
      <c r="B117" s="4">
        <v>42648</v>
      </c>
    </row>
    <row r="118" spans="1:2">
      <c r="A118" s="2">
        <v>45406</v>
      </c>
      <c r="B118" s="4">
        <v>3220</v>
      </c>
    </row>
    <row r="119" spans="1:2">
      <c r="A119" s="2">
        <v>45407</v>
      </c>
      <c r="B119" s="4">
        <v>521397</v>
      </c>
    </row>
    <row r="120" spans="1:2">
      <c r="A120" s="2">
        <v>45408</v>
      </c>
      <c r="B120" s="4">
        <v>169911</v>
      </c>
    </row>
    <row r="121" spans="1:2">
      <c r="A121" s="2">
        <v>45409</v>
      </c>
      <c r="B121" s="4">
        <v>15405</v>
      </c>
    </row>
    <row r="122" spans="1:2">
      <c r="A122" s="2">
        <v>45410</v>
      </c>
      <c r="B122" s="4">
        <v>16796</v>
      </c>
    </row>
    <row r="123" spans="1:2">
      <c r="A123" s="2">
        <v>45411</v>
      </c>
      <c r="B123" s="4">
        <v>8025</v>
      </c>
    </row>
    <row r="124" spans="1:2">
      <c r="A124" s="2">
        <v>45412</v>
      </c>
      <c r="B124" s="4">
        <v>108922</v>
      </c>
    </row>
    <row r="125" spans="1:2">
      <c r="A125" s="2">
        <v>45413</v>
      </c>
      <c r="B125" s="4">
        <v>37010</v>
      </c>
    </row>
    <row r="126" spans="1:2">
      <c r="A126" s="2">
        <v>45414</v>
      </c>
      <c r="B126" s="4">
        <v>28182</v>
      </c>
    </row>
    <row r="127" spans="1:2">
      <c r="A127" s="2">
        <v>45415</v>
      </c>
      <c r="B127" s="4">
        <v>34062</v>
      </c>
    </row>
    <row r="128" spans="1:2">
      <c r="A128" s="2">
        <v>45416</v>
      </c>
      <c r="B128" s="4">
        <v>20928</v>
      </c>
    </row>
    <row r="129" spans="1:2">
      <c r="A129" s="2">
        <v>45417</v>
      </c>
      <c r="B129" s="4">
        <v>474084</v>
      </c>
    </row>
    <row r="130" spans="1:2">
      <c r="A130" s="2">
        <v>45418</v>
      </c>
      <c r="B130" s="4">
        <v>15702</v>
      </c>
    </row>
    <row r="131" spans="1:2">
      <c r="A131" s="2">
        <v>45419</v>
      </c>
      <c r="B131" s="4">
        <v>15132</v>
      </c>
    </row>
    <row r="132" spans="1:2">
      <c r="A132" s="2">
        <v>45420</v>
      </c>
      <c r="B132" s="4">
        <v>35484</v>
      </c>
    </row>
    <row r="133" spans="1:2">
      <c r="A133" s="2">
        <v>45421</v>
      </c>
      <c r="B133" s="4">
        <v>14425</v>
      </c>
    </row>
    <row r="134" spans="1:2">
      <c r="A134" s="2">
        <v>45422</v>
      </c>
      <c r="B134" s="4">
        <v>348474</v>
      </c>
    </row>
    <row r="135" spans="1:2">
      <c r="A135" s="2">
        <v>45423</v>
      </c>
      <c r="B135" s="4">
        <v>116613</v>
      </c>
    </row>
    <row r="136" spans="1:2">
      <c r="A136" s="2">
        <v>45424</v>
      </c>
      <c r="B136" s="4">
        <v>70432</v>
      </c>
    </row>
    <row r="137" spans="1:2">
      <c r="A137" s="2">
        <v>45425</v>
      </c>
      <c r="B137" s="4">
        <v>89172</v>
      </c>
    </row>
    <row r="138" spans="1:2">
      <c r="A138" s="2">
        <v>45426</v>
      </c>
      <c r="B138" s="4">
        <v>12090</v>
      </c>
    </row>
    <row r="139" spans="1:2">
      <c r="A139" s="2">
        <v>45427</v>
      </c>
      <c r="B139" s="4">
        <v>41002</v>
      </c>
    </row>
    <row r="140" spans="1:2">
      <c r="A140" s="2">
        <v>45428</v>
      </c>
      <c r="B140" s="4">
        <v>40830</v>
      </c>
    </row>
    <row r="141" spans="1:2">
      <c r="A141" s="2">
        <v>45429</v>
      </c>
      <c r="B141" s="4">
        <v>12201</v>
      </c>
    </row>
    <row r="142" spans="1:2">
      <c r="A142" s="2">
        <v>45430</v>
      </c>
      <c r="B142" s="4">
        <v>34712</v>
      </c>
    </row>
    <row r="143" spans="1:2">
      <c r="A143" s="2">
        <v>45431</v>
      </c>
      <c r="B143" s="4">
        <v>11825</v>
      </c>
    </row>
    <row r="144" spans="1:2">
      <c r="A144" s="2">
        <v>45432</v>
      </c>
      <c r="B144" s="4">
        <v>251370</v>
      </c>
    </row>
    <row r="145" spans="1:2">
      <c r="A145" s="2">
        <v>45433</v>
      </c>
      <c r="B145" s="4">
        <v>198674</v>
      </c>
    </row>
    <row r="146" spans="1:2">
      <c r="A146" s="2">
        <v>45434</v>
      </c>
      <c r="B146" s="4">
        <v>48536</v>
      </c>
    </row>
    <row r="147" spans="1:2">
      <c r="A147" s="2">
        <v>45435</v>
      </c>
      <c r="B147" s="4">
        <v>16735</v>
      </c>
    </row>
    <row r="148" spans="1:2">
      <c r="A148" s="2">
        <v>45436</v>
      </c>
      <c r="B148" s="4">
        <v>10800</v>
      </c>
    </row>
    <row r="149" spans="1:2">
      <c r="A149" s="2">
        <v>45437</v>
      </c>
      <c r="B149" s="4">
        <v>286517</v>
      </c>
    </row>
    <row r="150" spans="1:2">
      <c r="A150" s="2">
        <v>45438</v>
      </c>
      <c r="B150" s="4">
        <v>164944</v>
      </c>
    </row>
    <row r="151" spans="1:2">
      <c r="A151" s="2">
        <v>45439</v>
      </c>
      <c r="B151" s="4">
        <v>103851</v>
      </c>
    </row>
    <row r="152" spans="1:2">
      <c r="A152" s="2">
        <v>45440</v>
      </c>
      <c r="B152" s="4">
        <v>42870</v>
      </c>
    </row>
    <row r="153" spans="1:2">
      <c r="A153" s="2">
        <v>45441</v>
      </c>
      <c r="B153" s="4">
        <v>2522</v>
      </c>
    </row>
    <row r="154" spans="1:2">
      <c r="A154" s="2">
        <v>45442</v>
      </c>
      <c r="B154" s="4">
        <v>83080</v>
      </c>
    </row>
    <row r="155" spans="1:2">
      <c r="A155" s="2">
        <v>45443</v>
      </c>
      <c r="B155" s="4">
        <v>56865</v>
      </c>
    </row>
    <row r="156" spans="1:2">
      <c r="A156" s="2">
        <v>45444</v>
      </c>
      <c r="B156" s="4">
        <v>45088</v>
      </c>
    </row>
    <row r="157" spans="1:2">
      <c r="A157" s="2">
        <v>45445</v>
      </c>
      <c r="B157" s="4">
        <v>42625</v>
      </c>
    </row>
    <row r="158" spans="1:2">
      <c r="A158" s="2">
        <v>45446</v>
      </c>
      <c r="B158" s="4">
        <v>8634</v>
      </c>
    </row>
    <row r="159" spans="1:2">
      <c r="A159" s="2">
        <v>45447</v>
      </c>
      <c r="B159" s="4">
        <v>322441</v>
      </c>
    </row>
    <row r="160" spans="1:2">
      <c r="A160" s="2">
        <v>45448</v>
      </c>
      <c r="B160" s="4">
        <v>153312</v>
      </c>
    </row>
    <row r="161" spans="1:2">
      <c r="A161" s="2">
        <v>45449</v>
      </c>
      <c r="B161" s="4">
        <v>36279</v>
      </c>
    </row>
    <row r="162" spans="1:2">
      <c r="A162" s="2">
        <v>45450</v>
      </c>
      <c r="B162" s="4">
        <v>104460</v>
      </c>
    </row>
    <row r="163" spans="1:2">
      <c r="A163" s="2">
        <v>45451</v>
      </c>
      <c r="B163" s="4">
        <v>2491</v>
      </c>
    </row>
    <row r="164" spans="1:2">
      <c r="A164" s="2">
        <v>45452</v>
      </c>
      <c r="B164" s="4">
        <v>92080</v>
      </c>
    </row>
    <row r="165" spans="1:2">
      <c r="A165" s="2">
        <v>45453</v>
      </c>
      <c r="B165" s="4">
        <v>87636</v>
      </c>
    </row>
    <row r="166" spans="1:2">
      <c r="A166" s="2">
        <v>45454</v>
      </c>
      <c r="B166" s="4">
        <v>37984</v>
      </c>
    </row>
    <row r="167" spans="1:2">
      <c r="A167" s="2">
        <v>45455</v>
      </c>
      <c r="B167" s="4">
        <v>22040</v>
      </c>
    </row>
    <row r="168" spans="1:2">
      <c r="A168" s="2">
        <v>45456</v>
      </c>
      <c r="B168" s="4">
        <v>9972</v>
      </c>
    </row>
    <row r="169" spans="1:2">
      <c r="A169" s="2">
        <v>45457</v>
      </c>
      <c r="B169" s="4">
        <v>348460</v>
      </c>
    </row>
    <row r="170" spans="1:2">
      <c r="A170" s="2">
        <v>45458</v>
      </c>
      <c r="B170" s="4">
        <v>127088</v>
      </c>
    </row>
    <row r="171" spans="1:2">
      <c r="A171" s="2">
        <v>45459</v>
      </c>
      <c r="B171" s="4">
        <v>28314</v>
      </c>
    </row>
    <row r="172" spans="1:2">
      <c r="A172" s="2">
        <v>45460</v>
      </c>
      <c r="B172" s="4">
        <v>50320</v>
      </c>
    </row>
    <row r="173" spans="1:2">
      <c r="A173" s="2">
        <v>45461</v>
      </c>
      <c r="B173" s="4">
        <v>26708</v>
      </c>
    </row>
    <row r="174" spans="1:2">
      <c r="A174" s="2">
        <v>45462</v>
      </c>
      <c r="B174" s="4">
        <v>189704</v>
      </c>
    </row>
    <row r="175" spans="1:2">
      <c r="A175" s="2">
        <v>45463</v>
      </c>
      <c r="B175" s="4">
        <v>100640</v>
      </c>
    </row>
    <row r="176" spans="1:2">
      <c r="A176" s="2">
        <v>45464</v>
      </c>
      <c r="B176" s="4">
        <v>53010</v>
      </c>
    </row>
    <row r="177" spans="1:2">
      <c r="A177" s="2">
        <v>45465</v>
      </c>
      <c r="B177" s="4">
        <v>58184</v>
      </c>
    </row>
    <row r="178" spans="1:2">
      <c r="A178" s="2">
        <v>45466</v>
      </c>
      <c r="B178" s="4">
        <v>10544</v>
      </c>
    </row>
    <row r="179" spans="1:2">
      <c r="A179" s="2">
        <v>45467</v>
      </c>
      <c r="B179" s="4">
        <v>389016</v>
      </c>
    </row>
    <row r="180" spans="1:2">
      <c r="A180" s="2">
        <v>45468</v>
      </c>
      <c r="B180" s="4">
        <v>271380</v>
      </c>
    </row>
    <row r="181" spans="1:2">
      <c r="A181" s="2">
        <v>45469</v>
      </c>
      <c r="B181" s="4">
        <v>10097</v>
      </c>
    </row>
    <row r="182" spans="1:2">
      <c r="A182" s="2">
        <v>45470</v>
      </c>
      <c r="B182" s="4">
        <v>22666</v>
      </c>
    </row>
    <row r="183" spans="1:2">
      <c r="A183" s="2">
        <v>45471</v>
      </c>
      <c r="B183" s="4">
        <v>5088</v>
      </c>
    </row>
    <row r="184" spans="1:2">
      <c r="A184" s="2">
        <v>45472</v>
      </c>
      <c r="B184" s="4">
        <v>185204</v>
      </c>
    </row>
    <row r="185" spans="1:2">
      <c r="A185" s="2">
        <v>45473</v>
      </c>
      <c r="B185" s="4">
        <v>128265</v>
      </c>
    </row>
    <row r="186" spans="1:2">
      <c r="A186" s="2">
        <v>45474</v>
      </c>
      <c r="B186" s="4">
        <v>28314</v>
      </c>
    </row>
    <row r="187" spans="1:2">
      <c r="A187" s="2">
        <v>45475</v>
      </c>
      <c r="B187" s="4">
        <v>44807</v>
      </c>
    </row>
    <row r="188" spans="1:2">
      <c r="A188" s="2">
        <v>45476</v>
      </c>
      <c r="B188" s="4">
        <v>12488</v>
      </c>
    </row>
    <row r="189" spans="1:2">
      <c r="A189" s="2">
        <v>45477</v>
      </c>
      <c r="B189" s="4">
        <v>369603</v>
      </c>
    </row>
    <row r="190" spans="1:2">
      <c r="A190" s="2">
        <v>45478</v>
      </c>
      <c r="B190" s="4">
        <v>177910</v>
      </c>
    </row>
    <row r="191" spans="1:2">
      <c r="A191" s="2">
        <v>45479</v>
      </c>
      <c r="B191" s="4">
        <v>18525</v>
      </c>
    </row>
    <row r="192" spans="1:2">
      <c r="A192" s="2">
        <v>45480</v>
      </c>
      <c r="B192" s="4">
        <v>13704</v>
      </c>
    </row>
    <row r="193" spans="1:2">
      <c r="A193" s="2">
        <v>45481</v>
      </c>
      <c r="B193" s="4">
        <v>6908</v>
      </c>
    </row>
    <row r="194" spans="1:2">
      <c r="A194" s="2">
        <v>45482</v>
      </c>
      <c r="B194" s="4">
        <v>287270</v>
      </c>
    </row>
    <row r="195" spans="1:2">
      <c r="A195" s="2">
        <v>45483</v>
      </c>
      <c r="B195" s="4">
        <v>141402</v>
      </c>
    </row>
    <row r="196" spans="1:2">
      <c r="A196" s="2">
        <v>45484</v>
      </c>
      <c r="B196" s="4">
        <v>42770</v>
      </c>
    </row>
    <row r="197" spans="1:2">
      <c r="A197" s="2">
        <v>45485</v>
      </c>
      <c r="B197" s="4">
        <v>10338</v>
      </c>
    </row>
    <row r="198" spans="1:2">
      <c r="A198" s="2">
        <v>45486</v>
      </c>
      <c r="B198" s="4">
        <v>2523</v>
      </c>
    </row>
    <row r="199" spans="1:2">
      <c r="A199" s="2">
        <v>45487</v>
      </c>
      <c r="B199" s="4">
        <v>212510</v>
      </c>
    </row>
    <row r="200" spans="1:2">
      <c r="A200" s="2">
        <v>45488</v>
      </c>
      <c r="B200" s="4">
        <v>70068</v>
      </c>
    </row>
    <row r="201" spans="1:2">
      <c r="A201" s="2">
        <v>45489</v>
      </c>
      <c r="B201" s="4">
        <v>22442</v>
      </c>
    </row>
    <row r="202" spans="1:2">
      <c r="A202" s="2">
        <v>45490</v>
      </c>
      <c r="B202" s="4">
        <v>12291</v>
      </c>
    </row>
    <row r="203" spans="1:2">
      <c r="A203" s="2">
        <v>45491</v>
      </c>
      <c r="B203" s="4">
        <v>1296</v>
      </c>
    </row>
    <row r="204" spans="1:2">
      <c r="A204" s="2">
        <v>45492</v>
      </c>
      <c r="B204" s="4">
        <v>43148</v>
      </c>
    </row>
    <row r="205" spans="1:2">
      <c r="A205" s="2">
        <v>45493</v>
      </c>
      <c r="B205" s="4">
        <v>27594</v>
      </c>
    </row>
    <row r="206" spans="1:2">
      <c r="A206" s="2">
        <v>45494</v>
      </c>
      <c r="B206" s="4">
        <v>3046</v>
      </c>
    </row>
    <row r="207" spans="1:2">
      <c r="A207" s="2">
        <v>45495</v>
      </c>
      <c r="B207" s="4">
        <v>9683</v>
      </c>
    </row>
    <row r="208" spans="1:2">
      <c r="A208" s="2">
        <v>45496</v>
      </c>
      <c r="B208" s="4">
        <v>2637</v>
      </c>
    </row>
    <row r="209" spans="1:2">
      <c r="A209" s="2">
        <v>45497</v>
      </c>
      <c r="B209" s="4">
        <v>56433</v>
      </c>
    </row>
    <row r="210" spans="1:2">
      <c r="A210" s="2">
        <v>45498</v>
      </c>
      <c r="B210" s="4">
        <v>16943</v>
      </c>
    </row>
    <row r="211" spans="1:2">
      <c r="A211" s="2">
        <v>45499</v>
      </c>
      <c r="B211" s="4">
        <v>5117</v>
      </c>
    </row>
    <row r="212" spans="1:2">
      <c r="A212" s="2">
        <v>45500</v>
      </c>
      <c r="B212" s="4">
        <v>4673</v>
      </c>
    </row>
    <row r="213" spans="1:2">
      <c r="A213" s="2">
        <v>45501</v>
      </c>
      <c r="B213" s="4">
        <v>3454</v>
      </c>
    </row>
    <row r="214" spans="1:2">
      <c r="A214" s="2">
        <v>45502</v>
      </c>
      <c r="B214" s="4">
        <v>81232</v>
      </c>
    </row>
    <row r="215" spans="1:2">
      <c r="A215" s="2">
        <v>45503</v>
      </c>
      <c r="B215" s="4">
        <v>56424</v>
      </c>
    </row>
    <row r="216" spans="1:2">
      <c r="A216" s="2">
        <v>45504</v>
      </c>
      <c r="B216" s="4">
        <v>24759</v>
      </c>
    </row>
    <row r="217" spans="1:2">
      <c r="A217" s="2">
        <v>45505</v>
      </c>
      <c r="B217" s="4">
        <v>40605</v>
      </c>
    </row>
    <row r="218" spans="1:2">
      <c r="A218" s="2">
        <v>45506</v>
      </c>
      <c r="B218" s="4">
        <v>5465</v>
      </c>
    </row>
    <row r="219" spans="1:2">
      <c r="A219" s="2">
        <v>45507</v>
      </c>
      <c r="B219" s="4">
        <v>264475</v>
      </c>
    </row>
    <row r="220" spans="1:2">
      <c r="A220" s="2">
        <v>45508</v>
      </c>
      <c r="B220" s="4">
        <v>120468</v>
      </c>
    </row>
    <row r="221" spans="1:2">
      <c r="A221" s="2">
        <v>45509</v>
      </c>
      <c r="B221" s="4">
        <v>14340</v>
      </c>
    </row>
    <row r="222" spans="1:2">
      <c r="A222" s="2">
        <v>45510</v>
      </c>
      <c r="B222" s="4">
        <v>17670</v>
      </c>
    </row>
    <row r="223" spans="1:2">
      <c r="A223" s="2">
        <v>45511</v>
      </c>
      <c r="B223" s="4">
        <v>3222</v>
      </c>
    </row>
    <row r="224" spans="1:2">
      <c r="A224" s="2">
        <v>45512</v>
      </c>
      <c r="B224" s="4">
        <v>190440</v>
      </c>
    </row>
    <row r="225" spans="1:2">
      <c r="A225" s="2">
        <v>45513</v>
      </c>
      <c r="B225" s="4">
        <v>112408</v>
      </c>
    </row>
    <row r="226" spans="1:2">
      <c r="A226" s="2">
        <v>45514</v>
      </c>
      <c r="B226" s="4">
        <v>57022</v>
      </c>
    </row>
    <row r="227" spans="1:2">
      <c r="A227" s="2">
        <v>45515</v>
      </c>
      <c r="B227" s="4">
        <v>21707</v>
      </c>
    </row>
    <row r="228" spans="1:2">
      <c r="A228" s="2">
        <v>45516</v>
      </c>
      <c r="B228" s="4">
        <v>6855</v>
      </c>
    </row>
    <row r="229" spans="1:2">
      <c r="A229" s="2">
        <v>45517</v>
      </c>
      <c r="B229" s="4">
        <v>434916</v>
      </c>
    </row>
    <row r="230" spans="1:2">
      <c r="A230" s="2">
        <v>45518</v>
      </c>
      <c r="B230" s="4">
        <v>213776</v>
      </c>
    </row>
    <row r="231" spans="1:2">
      <c r="A231" s="2">
        <v>45519</v>
      </c>
      <c r="B231" s="4">
        <v>55335</v>
      </c>
    </row>
    <row r="232" spans="1:2">
      <c r="A232" s="2">
        <v>45520</v>
      </c>
      <c r="B232" s="4">
        <v>41598</v>
      </c>
    </row>
    <row r="233" spans="1:2">
      <c r="A233" s="2">
        <v>45521</v>
      </c>
      <c r="B233" s="4">
        <v>2993</v>
      </c>
    </row>
    <row r="234" spans="1:2">
      <c r="A234" s="2">
        <v>45522</v>
      </c>
      <c r="B234" s="4">
        <v>41721</v>
      </c>
    </row>
    <row r="235" spans="1:2">
      <c r="A235" s="2">
        <v>45523</v>
      </c>
      <c r="B235" s="4">
        <v>72536</v>
      </c>
    </row>
    <row r="236" spans="1:2">
      <c r="A236" s="2">
        <v>45524</v>
      </c>
      <c r="B236" s="4">
        <v>47450</v>
      </c>
    </row>
    <row r="237" spans="1:2">
      <c r="A237" s="2">
        <v>45525</v>
      </c>
      <c r="B237" s="4">
        <v>24390</v>
      </c>
    </row>
    <row r="238" spans="1:2">
      <c r="A238" s="2">
        <v>45526</v>
      </c>
      <c r="B238" s="4">
        <v>7028</v>
      </c>
    </row>
    <row r="239" spans="1:2">
      <c r="A239" s="2">
        <v>45527</v>
      </c>
      <c r="B239" s="4">
        <v>168765</v>
      </c>
    </row>
    <row r="240" spans="1:2">
      <c r="A240" s="2">
        <v>45528</v>
      </c>
      <c r="B240" s="4">
        <v>146736</v>
      </c>
    </row>
    <row r="241" spans="1:2">
      <c r="A241" s="2">
        <v>45529</v>
      </c>
      <c r="B241" s="4">
        <v>102483</v>
      </c>
    </row>
    <row r="242" spans="1:2">
      <c r="A242" s="2">
        <v>45530</v>
      </c>
      <c r="B242" s="4">
        <v>17005</v>
      </c>
    </row>
    <row r="243" spans="1:2">
      <c r="A243" s="2">
        <v>45531</v>
      </c>
      <c r="B243" s="4">
        <v>12966</v>
      </c>
    </row>
    <row r="244" spans="1:2">
      <c r="A244" s="2">
        <v>45532</v>
      </c>
      <c r="B244" s="4">
        <v>126600</v>
      </c>
    </row>
    <row r="245" spans="1:2">
      <c r="A245" s="2">
        <v>45533</v>
      </c>
      <c r="B245" s="4">
        <v>71096</v>
      </c>
    </row>
    <row r="246" spans="1:2">
      <c r="A246" s="2">
        <v>45534</v>
      </c>
      <c r="B246" s="4">
        <v>35580</v>
      </c>
    </row>
    <row r="247" spans="1:2">
      <c r="A247" s="2">
        <v>45535</v>
      </c>
      <c r="B247" s="4">
        <v>55770</v>
      </c>
    </row>
    <row r="248" spans="1:2">
      <c r="A248" s="2">
        <v>45536</v>
      </c>
      <c r="B248" s="4">
        <v>17458</v>
      </c>
    </row>
    <row r="249" spans="1:2">
      <c r="A249" s="2">
        <v>45537</v>
      </c>
      <c r="B249" s="4">
        <v>142254</v>
      </c>
    </row>
    <row r="250" spans="1:2">
      <c r="A250" s="2">
        <v>45538</v>
      </c>
      <c r="B250" s="4">
        <v>42970</v>
      </c>
    </row>
    <row r="251" spans="1:2">
      <c r="A251" s="2">
        <v>45539</v>
      </c>
      <c r="B251" s="4">
        <v>28011</v>
      </c>
    </row>
    <row r="252" spans="1:2">
      <c r="A252" s="2">
        <v>45540</v>
      </c>
      <c r="B252" s="4">
        <v>23064</v>
      </c>
    </row>
    <row r="253" spans="1:2">
      <c r="A253" s="2">
        <v>45541</v>
      </c>
      <c r="B253" s="4">
        <v>1375</v>
      </c>
    </row>
    <row r="254" spans="1:2">
      <c r="A254" s="2">
        <v>45542</v>
      </c>
      <c r="B254" s="4">
        <v>354361</v>
      </c>
    </row>
    <row r="255" spans="1:2">
      <c r="A255" s="2">
        <v>45543</v>
      </c>
      <c r="B255" s="4">
        <v>159474</v>
      </c>
    </row>
    <row r="256" spans="1:2">
      <c r="A256" s="2">
        <v>45544</v>
      </c>
      <c r="B256" s="4">
        <v>19590</v>
      </c>
    </row>
    <row r="257" spans="1:2">
      <c r="A257" s="2">
        <v>45545</v>
      </c>
      <c r="B257" s="4">
        <v>31340</v>
      </c>
    </row>
    <row r="258" spans="1:2">
      <c r="A258" s="2">
        <v>45546</v>
      </c>
      <c r="B258" s="4">
        <v>4034</v>
      </c>
    </row>
    <row r="259" spans="1:2">
      <c r="A259" s="2">
        <v>45547</v>
      </c>
      <c r="B259" s="4">
        <v>516393</v>
      </c>
    </row>
    <row r="260" spans="1:2">
      <c r="A260" s="2">
        <v>45548</v>
      </c>
      <c r="B260" s="4">
        <v>178164</v>
      </c>
    </row>
    <row r="261" spans="1:2">
      <c r="A261" s="2">
        <v>45549</v>
      </c>
      <c r="B261" s="4">
        <v>56840</v>
      </c>
    </row>
    <row r="262" spans="1:2">
      <c r="A262" s="2">
        <v>45550</v>
      </c>
      <c r="B262" s="4">
        <v>12876</v>
      </c>
    </row>
    <row r="263" spans="1:2">
      <c r="A263" s="2">
        <v>45551</v>
      </c>
      <c r="B263" s="4">
        <v>2494</v>
      </c>
    </row>
    <row r="264" spans="1:2">
      <c r="A264" s="2">
        <v>45552</v>
      </c>
      <c r="B264" s="4">
        <v>173655</v>
      </c>
    </row>
    <row r="265" spans="1:2">
      <c r="A265" s="2">
        <v>45553</v>
      </c>
      <c r="B265" s="4">
        <v>98184</v>
      </c>
    </row>
    <row r="266" spans="1:2">
      <c r="A266" s="2">
        <v>45554</v>
      </c>
      <c r="B266" s="4">
        <v>57492</v>
      </c>
    </row>
    <row r="267" spans="1:2">
      <c r="A267" s="2">
        <v>45555</v>
      </c>
      <c r="B267" s="4">
        <v>8398</v>
      </c>
    </row>
    <row r="268" spans="1:2">
      <c r="A268" s="2">
        <v>45556</v>
      </c>
      <c r="B268" s="4">
        <v>3954</v>
      </c>
    </row>
    <row r="269" spans="1:2">
      <c r="A269" s="2">
        <v>45557</v>
      </c>
      <c r="B269" s="4">
        <v>163467</v>
      </c>
    </row>
    <row r="270" spans="1:2">
      <c r="A270" s="2">
        <v>45558</v>
      </c>
      <c r="B270" s="4">
        <v>86688</v>
      </c>
    </row>
    <row r="271" spans="1:2">
      <c r="A271" s="2">
        <v>45559</v>
      </c>
      <c r="B271" s="4">
        <v>70956</v>
      </c>
    </row>
    <row r="272" spans="1:2">
      <c r="A272" s="2">
        <v>45560</v>
      </c>
      <c r="B272" s="4">
        <v>6523</v>
      </c>
    </row>
    <row r="273" spans="1:2">
      <c r="A273" s="2">
        <v>45561</v>
      </c>
      <c r="B273" s="4">
        <v>4008</v>
      </c>
    </row>
    <row r="274" spans="1:2">
      <c r="A274" s="2">
        <v>45562</v>
      </c>
      <c r="B274" s="4">
        <v>463096</v>
      </c>
    </row>
    <row r="275" spans="1:2">
      <c r="A275" s="2">
        <v>45563</v>
      </c>
      <c r="B275" s="4">
        <v>204849</v>
      </c>
    </row>
    <row r="276" spans="1:2">
      <c r="A276" s="2">
        <v>45564</v>
      </c>
      <c r="B276" s="4">
        <v>42836</v>
      </c>
    </row>
    <row r="277" spans="1:2">
      <c r="A277" s="2">
        <v>45565</v>
      </c>
      <c r="B277" s="4">
        <v>19032</v>
      </c>
    </row>
    <row r="278" spans="1:2">
      <c r="A278" s="2">
        <v>45566</v>
      </c>
      <c r="B278" s="4">
        <v>2708</v>
      </c>
    </row>
    <row r="279" spans="1:2">
      <c r="A279" s="2">
        <v>45567</v>
      </c>
      <c r="B279" s="4">
        <v>87840</v>
      </c>
    </row>
    <row r="280" spans="1:2">
      <c r="A280" s="2">
        <v>45568</v>
      </c>
      <c r="B280" s="4">
        <v>128565</v>
      </c>
    </row>
    <row r="281" spans="1:2">
      <c r="A281" s="2">
        <v>45569</v>
      </c>
      <c r="B281" s="4">
        <v>43974</v>
      </c>
    </row>
    <row r="282" spans="1:2">
      <c r="A282" s="2">
        <v>45570</v>
      </c>
      <c r="B282" s="4">
        <v>27265</v>
      </c>
    </row>
    <row r="283" spans="1:2">
      <c r="A283" s="2">
        <v>45571</v>
      </c>
      <c r="B283" s="4">
        <v>12464</v>
      </c>
    </row>
    <row r="284" spans="1:2">
      <c r="A284" s="2">
        <v>45572</v>
      </c>
      <c r="B284" s="4">
        <v>47134</v>
      </c>
    </row>
    <row r="285" spans="1:2">
      <c r="A285" s="2">
        <v>45573</v>
      </c>
      <c r="B285" s="4">
        <v>44900</v>
      </c>
    </row>
    <row r="286" spans="1:2">
      <c r="A286" s="2">
        <v>45574</v>
      </c>
      <c r="B286" s="4">
        <v>31599</v>
      </c>
    </row>
    <row r="287" spans="1:2">
      <c r="A287" s="2">
        <v>45575</v>
      </c>
      <c r="B287" s="4">
        <v>24207</v>
      </c>
    </row>
    <row r="288" spans="1:2">
      <c r="A288" s="2">
        <v>45576</v>
      </c>
      <c r="B288" s="4">
        <v>6984</v>
      </c>
    </row>
    <row r="289" spans="1:2">
      <c r="A289" s="2">
        <v>45577</v>
      </c>
      <c r="B289" s="4">
        <v>357414</v>
      </c>
    </row>
    <row r="290" spans="1:2">
      <c r="A290" s="2">
        <v>45578</v>
      </c>
      <c r="B290" s="4">
        <v>115340</v>
      </c>
    </row>
    <row r="291" spans="1:2">
      <c r="A291" s="2">
        <v>45579</v>
      </c>
      <c r="B291" s="4">
        <v>56658</v>
      </c>
    </row>
    <row r="292" spans="1:2">
      <c r="A292" s="2">
        <v>45580</v>
      </c>
      <c r="B292" s="4">
        <v>28992</v>
      </c>
    </row>
    <row r="293" spans="1:2">
      <c r="A293" s="2">
        <v>45581</v>
      </c>
      <c r="B293" s="4">
        <v>10409</v>
      </c>
    </row>
    <row r="294" spans="1:2">
      <c r="A294" s="2">
        <v>45582</v>
      </c>
      <c r="B294" s="4">
        <v>48808</v>
      </c>
    </row>
    <row r="295" spans="1:2">
      <c r="A295" s="2">
        <v>45583</v>
      </c>
      <c r="B295" s="4">
        <v>22123</v>
      </c>
    </row>
    <row r="296" spans="1:2">
      <c r="A296" s="2">
        <v>45584</v>
      </c>
      <c r="B296" s="4">
        <v>21366</v>
      </c>
    </row>
    <row r="297" spans="1:2">
      <c r="A297" s="2">
        <v>45585</v>
      </c>
      <c r="B297" s="4">
        <v>8002</v>
      </c>
    </row>
    <row r="298" spans="1:2">
      <c r="A298" s="2">
        <v>45586</v>
      </c>
      <c r="B298" s="4">
        <v>4938</v>
      </c>
    </row>
    <row r="299" spans="1:2">
      <c r="A299" s="2">
        <v>45587</v>
      </c>
      <c r="B299" s="4">
        <v>136149</v>
      </c>
    </row>
    <row r="300" spans="1:2">
      <c r="A300" s="2">
        <v>45588</v>
      </c>
      <c r="B300" s="4">
        <v>64146</v>
      </c>
    </row>
    <row r="301" spans="1:2">
      <c r="A301" s="2">
        <v>45589</v>
      </c>
      <c r="B301" s="4">
        <v>9735</v>
      </c>
    </row>
    <row r="302" spans="1:2">
      <c r="A302" s="2">
        <v>45590</v>
      </c>
      <c r="B302" s="4">
        <v>5594</v>
      </c>
    </row>
    <row r="303" spans="1:2">
      <c r="A303" s="2">
        <v>45591</v>
      </c>
      <c r="B303" s="4">
        <v>1479</v>
      </c>
    </row>
    <row r="304" spans="1:2">
      <c r="A304" s="2" t="s">
        <v>8</v>
      </c>
      <c r="B304" s="4">
        <v>26171523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00ABC-A071-4CEF-87B6-FD4A4D703891}">
  <dimension ref="V32"/>
  <sheetViews>
    <sheetView workbookViewId="0">
      <selection activeCell="V32" sqref="V32"/>
    </sheetView>
  </sheetViews>
  <sheetFormatPr defaultRowHeight="15"/>
  <sheetData>
    <row r="32" spans="22:22">
      <c r="V32" t="s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447B-5284-4E79-887F-0D48C2094AE0}">
  <dimension ref="A1:E3"/>
  <sheetViews>
    <sheetView tabSelected="1" workbookViewId="0">
      <selection activeCell="U27" sqref="U27"/>
    </sheetView>
  </sheetViews>
  <sheetFormatPr defaultRowHeight="15"/>
  <cols>
    <col min="1" max="1" width="57.85546875" customWidth="1"/>
    <col min="2" max="2" width="26.85546875" bestFit="1" customWidth="1"/>
    <col min="3" max="3" width="12.140625" bestFit="1" customWidth="1"/>
    <col min="4" max="4" width="78.42578125" customWidth="1"/>
    <col min="5" max="5" width="125.28515625" customWidth="1"/>
  </cols>
  <sheetData>
    <row r="1" spans="1:5" ht="24">
      <c r="A1" s="11" t="s">
        <v>18</v>
      </c>
    </row>
    <row r="2" spans="1:5" ht="15.75">
      <c r="A2" s="10" t="s">
        <v>19</v>
      </c>
      <c r="B2" s="10"/>
      <c r="C2" s="13" t="s">
        <v>20</v>
      </c>
      <c r="E2" s="14" t="s">
        <v>21</v>
      </c>
    </row>
    <row r="3" spans="1:5">
      <c r="A3" s="12">
        <v>26171523</v>
      </c>
      <c r="C3" t="s">
        <v>5</v>
      </c>
      <c r="E3" t="s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1"/>
  <sheetViews>
    <sheetView workbookViewId="0">
      <selection activeCell="C12" sqref="C12"/>
    </sheetView>
  </sheetViews>
  <sheetFormatPr defaultRowHeight="15"/>
  <cols>
    <col min="1" max="1" width="13.7109375" customWidth="1"/>
    <col min="2" max="2" width="23.5703125" customWidth="1"/>
    <col min="3" max="3" width="15.5703125" customWidth="1"/>
    <col min="4" max="4" width="15" customWidth="1"/>
    <col min="5" max="5" width="11.7109375" customWidth="1"/>
    <col min="6" max="6" width="14" customWidth="1"/>
    <col min="7" max="7" width="26.5703125" customWidth="1"/>
    <col min="8" max="8" width="17.28515625" customWidth="1"/>
    <col min="9" max="9" width="20.28515625" customWidth="1"/>
  </cols>
  <sheetData>
    <row r="1" spans="1:9" ht="28.5" customHeight="1">
      <c r="A1" s="1" t="s">
        <v>22</v>
      </c>
      <c r="B1" s="1" t="s">
        <v>23</v>
      </c>
      <c r="C1" s="1" t="s">
        <v>1</v>
      </c>
      <c r="D1" s="1" t="s">
        <v>24</v>
      </c>
      <c r="E1" s="1" t="s">
        <v>10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ht="17.25" customHeight="1">
      <c r="A2" s="2">
        <v>45292</v>
      </c>
      <c r="B2" t="s">
        <v>29</v>
      </c>
      <c r="C2" t="s">
        <v>5</v>
      </c>
      <c r="D2" t="s">
        <v>30</v>
      </c>
      <c r="E2" t="s">
        <v>13</v>
      </c>
      <c r="F2" s="5">
        <v>9</v>
      </c>
      <c r="G2" s="3">
        <f ca="1">IF(C2= "Laptop",RANDBETWEEN(40000,60000),IF(C2="Mobile",RANDBETWEEN(15000,30000),IF(OR(C2="Chair",C2="Table"),RANDBETWEEN(3000,12000),RANDBETWEEN(800,3000))))</f>
        <v>41827</v>
      </c>
      <c r="H2" s="4">
        <f ca="1">+F2*G2</f>
        <v>376443</v>
      </c>
      <c r="I2" s="6" t="s">
        <v>31</v>
      </c>
    </row>
    <row r="3" spans="1:9">
      <c r="A3" s="2">
        <v>45293</v>
      </c>
      <c r="B3" t="s">
        <v>32</v>
      </c>
      <c r="C3" t="s">
        <v>6</v>
      </c>
      <c r="D3" t="s">
        <v>30</v>
      </c>
      <c r="E3" t="s">
        <v>12</v>
      </c>
      <c r="F3" s="5">
        <v>7</v>
      </c>
      <c r="G3" s="3">
        <f t="shared" ref="G3:G66" ca="1" si="0">IF(C3= "Laptop",RANDBETWEEN(40000,60000),IF(C3="Mobile",RANDBETWEEN(15000,30000),IF(OR(C3="Chair",C3="Table"),RANDBETWEEN(3000,12000),RANDBETWEEN(800,3000))))</f>
        <v>15450</v>
      </c>
      <c r="H3" s="4">
        <f ca="1">+F3*G3</f>
        <v>108150</v>
      </c>
      <c r="I3" s="6" t="s">
        <v>33</v>
      </c>
    </row>
    <row r="4" spans="1:9">
      <c r="A4" s="2">
        <v>45294</v>
      </c>
      <c r="B4" t="s">
        <v>34</v>
      </c>
      <c r="C4" t="s">
        <v>3</v>
      </c>
      <c r="D4" t="s">
        <v>35</v>
      </c>
      <c r="E4" t="s">
        <v>14</v>
      </c>
      <c r="F4" s="5">
        <v>4</v>
      </c>
      <c r="G4" s="3">
        <f t="shared" ca="1" si="0"/>
        <v>3625</v>
      </c>
      <c r="H4" s="4">
        <f ca="1">F4*G4</f>
        <v>14500</v>
      </c>
      <c r="I4" s="6" t="s">
        <v>36</v>
      </c>
    </row>
    <row r="5" spans="1:9">
      <c r="A5" s="2">
        <v>45295</v>
      </c>
      <c r="B5" t="s">
        <v>37</v>
      </c>
      <c r="C5" t="s">
        <v>7</v>
      </c>
      <c r="D5" t="s">
        <v>35</v>
      </c>
      <c r="E5" t="s">
        <v>11</v>
      </c>
      <c r="F5" s="5">
        <v>3</v>
      </c>
      <c r="G5" s="3">
        <f t="shared" ca="1" si="0"/>
        <v>10128</v>
      </c>
      <c r="H5" s="4">
        <f ca="1">F5*G5</f>
        <v>30384</v>
      </c>
      <c r="I5" s="6" t="s">
        <v>31</v>
      </c>
    </row>
    <row r="6" spans="1:9">
      <c r="A6" s="2">
        <v>45296</v>
      </c>
      <c r="B6" t="s">
        <v>38</v>
      </c>
      <c r="C6" t="s">
        <v>4</v>
      </c>
      <c r="D6" t="s">
        <v>39</v>
      </c>
      <c r="E6" t="s">
        <v>13</v>
      </c>
      <c r="F6" s="5">
        <v>2</v>
      </c>
      <c r="G6" s="3">
        <f t="shared" ca="1" si="0"/>
        <v>967</v>
      </c>
      <c r="H6" s="4">
        <f ca="1">F6*G6</f>
        <v>1934</v>
      </c>
      <c r="I6" s="6" t="s">
        <v>33</v>
      </c>
    </row>
    <row r="7" spans="1:9">
      <c r="A7" s="2">
        <v>45297</v>
      </c>
      <c r="B7" t="str">
        <f>"ORD"&amp;TEXT(ROW()-1,"000")</f>
        <v>ORD006</v>
      </c>
      <c r="C7" t="s">
        <v>5</v>
      </c>
      <c r="D7" t="s">
        <v>30</v>
      </c>
      <c r="E7" t="s">
        <v>12</v>
      </c>
      <c r="F7" s="5">
        <v>5</v>
      </c>
      <c r="G7" s="3">
        <f t="shared" ca="1" si="0"/>
        <v>49435</v>
      </c>
      <c r="H7" s="4">
        <f t="shared" ref="H7:H8" ca="1" si="1">+F7*G7</f>
        <v>247175</v>
      </c>
      <c r="I7" s="6" t="s">
        <v>31</v>
      </c>
    </row>
    <row r="8" spans="1:9">
      <c r="A8" s="2">
        <v>45298</v>
      </c>
      <c r="B8" t="str">
        <f t="shared" ref="B8:B71" si="2">"ORD"&amp;TEXT(ROW()-1,"000")</f>
        <v>ORD007</v>
      </c>
      <c r="C8" t="s">
        <v>6</v>
      </c>
      <c r="D8" t="s">
        <v>30</v>
      </c>
      <c r="E8" t="s">
        <v>13</v>
      </c>
      <c r="F8" s="5">
        <v>1</v>
      </c>
      <c r="G8" s="3">
        <f t="shared" ca="1" si="0"/>
        <v>18439</v>
      </c>
      <c r="H8" s="4">
        <f t="shared" ca="1" si="1"/>
        <v>18439</v>
      </c>
      <c r="I8" s="6" t="s">
        <v>33</v>
      </c>
    </row>
    <row r="9" spans="1:9">
      <c r="A9" s="2">
        <v>45299</v>
      </c>
      <c r="B9" t="str">
        <f t="shared" si="2"/>
        <v>ORD008</v>
      </c>
      <c r="C9" t="s">
        <v>3</v>
      </c>
      <c r="D9" t="s">
        <v>35</v>
      </c>
      <c r="E9" t="s">
        <v>11</v>
      </c>
      <c r="F9" s="5">
        <v>6</v>
      </c>
      <c r="G9" s="3">
        <f t="shared" ca="1" si="0"/>
        <v>3956</v>
      </c>
      <c r="H9" s="4">
        <f t="shared" ref="H9:H11" ca="1" si="3">F9*G9</f>
        <v>23736</v>
      </c>
      <c r="I9" s="6" t="s">
        <v>36</v>
      </c>
    </row>
    <row r="10" spans="1:9">
      <c r="A10" s="2">
        <v>45300</v>
      </c>
      <c r="B10" t="str">
        <f t="shared" si="2"/>
        <v>ORD009</v>
      </c>
      <c r="C10" t="s">
        <v>7</v>
      </c>
      <c r="D10" t="s">
        <v>35</v>
      </c>
      <c r="E10" t="s">
        <v>14</v>
      </c>
      <c r="F10" s="5">
        <v>2</v>
      </c>
      <c r="G10" s="3">
        <f t="shared" ca="1" si="0"/>
        <v>7731</v>
      </c>
      <c r="H10" s="4">
        <f t="shared" ca="1" si="3"/>
        <v>15462</v>
      </c>
      <c r="I10" s="6" t="s">
        <v>31</v>
      </c>
    </row>
    <row r="11" spans="1:9">
      <c r="A11" s="2">
        <v>45301</v>
      </c>
      <c r="B11" t="str">
        <f t="shared" si="2"/>
        <v>ORD010</v>
      </c>
      <c r="C11" t="s">
        <v>4</v>
      </c>
      <c r="D11" t="s">
        <v>39</v>
      </c>
      <c r="E11" t="s">
        <v>12</v>
      </c>
      <c r="F11" s="5">
        <v>1</v>
      </c>
      <c r="G11" s="3">
        <f t="shared" ca="1" si="0"/>
        <v>2715</v>
      </c>
      <c r="H11" s="4">
        <f t="shared" ca="1" si="3"/>
        <v>2715</v>
      </c>
      <c r="I11" s="6" t="s">
        <v>33</v>
      </c>
    </row>
    <row r="12" spans="1:9">
      <c r="A12" s="2">
        <v>45302</v>
      </c>
      <c r="B12" t="str">
        <f t="shared" si="2"/>
        <v>ORD011</v>
      </c>
      <c r="C12" t="s">
        <v>5</v>
      </c>
      <c r="D12" t="s">
        <v>30</v>
      </c>
      <c r="E12" t="s">
        <v>13</v>
      </c>
      <c r="F12" s="5">
        <v>2</v>
      </c>
      <c r="G12" s="3">
        <f t="shared" ca="1" si="0"/>
        <v>51823</v>
      </c>
      <c r="H12" s="4">
        <f t="shared" ref="H12:H14" ca="1" si="4">+F12*G12</f>
        <v>103646</v>
      </c>
      <c r="I12" s="6" t="s">
        <v>31</v>
      </c>
    </row>
    <row r="13" spans="1:9">
      <c r="A13" s="2">
        <v>45303</v>
      </c>
      <c r="B13" t="str">
        <f t="shared" si="2"/>
        <v>ORD012</v>
      </c>
      <c r="C13" t="s">
        <v>6</v>
      </c>
      <c r="D13" t="s">
        <v>30</v>
      </c>
      <c r="E13" t="s">
        <v>12</v>
      </c>
      <c r="F13" s="5">
        <v>3</v>
      </c>
      <c r="G13" s="3">
        <f t="shared" ca="1" si="0"/>
        <v>25961</v>
      </c>
      <c r="H13" s="4">
        <f t="shared" ca="1" si="4"/>
        <v>77883</v>
      </c>
      <c r="I13" s="6" t="s">
        <v>33</v>
      </c>
    </row>
    <row r="14" spans="1:9">
      <c r="A14" s="2">
        <v>45304</v>
      </c>
      <c r="B14" t="str">
        <f t="shared" si="2"/>
        <v>ORD013</v>
      </c>
      <c r="C14" t="s">
        <v>3</v>
      </c>
      <c r="D14" t="s">
        <v>35</v>
      </c>
      <c r="E14" t="s">
        <v>14</v>
      </c>
      <c r="F14" s="5">
        <v>4</v>
      </c>
      <c r="G14" s="3">
        <f t="shared" ca="1" si="0"/>
        <v>10532</v>
      </c>
      <c r="H14" s="4">
        <f t="shared" ca="1" si="4"/>
        <v>42128</v>
      </c>
      <c r="I14" s="6" t="s">
        <v>36</v>
      </c>
    </row>
    <row r="15" spans="1:9">
      <c r="A15" s="2">
        <v>45305</v>
      </c>
      <c r="B15" t="str">
        <f t="shared" si="2"/>
        <v>ORD014</v>
      </c>
      <c r="C15" t="s">
        <v>7</v>
      </c>
      <c r="D15" t="s">
        <v>35</v>
      </c>
      <c r="E15" t="s">
        <v>11</v>
      </c>
      <c r="F15" s="5">
        <v>5</v>
      </c>
      <c r="G15" s="3">
        <f t="shared" ca="1" si="0"/>
        <v>6193</v>
      </c>
      <c r="H15" s="4">
        <f t="shared" ref="H15:H17" ca="1" si="5">F15*G15</f>
        <v>30965</v>
      </c>
      <c r="I15" s="6" t="s">
        <v>31</v>
      </c>
    </row>
    <row r="16" spans="1:9">
      <c r="A16" s="2">
        <v>45306</v>
      </c>
      <c r="B16" t="str">
        <f t="shared" si="2"/>
        <v>ORD015</v>
      </c>
      <c r="C16" t="s">
        <v>4</v>
      </c>
      <c r="D16" t="s">
        <v>39</v>
      </c>
      <c r="E16" t="s">
        <v>13</v>
      </c>
      <c r="F16" s="5">
        <v>6</v>
      </c>
      <c r="G16" s="3">
        <f t="shared" ca="1" si="0"/>
        <v>2878</v>
      </c>
      <c r="H16" s="4">
        <f t="shared" ca="1" si="5"/>
        <v>17268</v>
      </c>
      <c r="I16" s="6" t="s">
        <v>33</v>
      </c>
    </row>
    <row r="17" spans="1:9">
      <c r="A17" s="2">
        <v>45307</v>
      </c>
      <c r="B17" t="str">
        <f t="shared" si="2"/>
        <v>ORD016</v>
      </c>
      <c r="C17" t="s">
        <v>5</v>
      </c>
      <c r="D17" t="s">
        <v>30</v>
      </c>
      <c r="E17" t="s">
        <v>12</v>
      </c>
      <c r="F17" s="5">
        <v>7</v>
      </c>
      <c r="G17" s="3">
        <f t="shared" ca="1" si="0"/>
        <v>49999</v>
      </c>
      <c r="H17" s="4">
        <f t="shared" ca="1" si="5"/>
        <v>349993</v>
      </c>
      <c r="I17" s="6" t="s">
        <v>31</v>
      </c>
    </row>
    <row r="18" spans="1:9">
      <c r="A18" s="2">
        <v>45308</v>
      </c>
      <c r="B18" t="str">
        <f t="shared" si="2"/>
        <v>ORD017</v>
      </c>
      <c r="C18" t="s">
        <v>6</v>
      </c>
      <c r="D18" t="s">
        <v>30</v>
      </c>
      <c r="E18" t="s">
        <v>13</v>
      </c>
      <c r="F18" s="5">
        <v>8</v>
      </c>
      <c r="G18" s="3">
        <f t="shared" ca="1" si="0"/>
        <v>21078</v>
      </c>
      <c r="H18" s="4">
        <f t="shared" ref="H18:H74" ca="1" si="6">+F18*G18</f>
        <v>168624</v>
      </c>
      <c r="I18" s="6" t="s">
        <v>33</v>
      </c>
    </row>
    <row r="19" spans="1:9">
      <c r="A19" s="2">
        <v>45309</v>
      </c>
      <c r="B19" t="str">
        <f t="shared" si="2"/>
        <v>ORD018</v>
      </c>
      <c r="C19" t="s">
        <v>3</v>
      </c>
      <c r="D19" t="s">
        <v>35</v>
      </c>
      <c r="E19" t="s">
        <v>11</v>
      </c>
      <c r="F19" s="5">
        <v>9</v>
      </c>
      <c r="G19" s="3">
        <f t="shared" ca="1" si="0"/>
        <v>8053</v>
      </c>
      <c r="H19" s="4">
        <f t="shared" ca="1" si="6"/>
        <v>72477</v>
      </c>
      <c r="I19" s="6" t="s">
        <v>36</v>
      </c>
    </row>
    <row r="20" spans="1:9">
      <c r="A20" s="2">
        <v>45310</v>
      </c>
      <c r="B20" t="str">
        <f t="shared" si="2"/>
        <v>ORD019</v>
      </c>
      <c r="C20" t="s">
        <v>7</v>
      </c>
      <c r="D20" t="s">
        <v>35</v>
      </c>
      <c r="E20" t="s">
        <v>14</v>
      </c>
      <c r="F20" s="5">
        <v>10</v>
      </c>
      <c r="G20" s="3">
        <f t="shared" ca="1" si="0"/>
        <v>10457</v>
      </c>
      <c r="H20" s="4">
        <f t="shared" ref="H20:H77" ca="1" si="7">F20*G20</f>
        <v>104570</v>
      </c>
      <c r="I20" s="6" t="s">
        <v>31</v>
      </c>
    </row>
    <row r="21" spans="1:9">
      <c r="A21" s="2">
        <v>45311</v>
      </c>
      <c r="B21" t="str">
        <f t="shared" si="2"/>
        <v>ORD020</v>
      </c>
      <c r="C21" t="s">
        <v>4</v>
      </c>
      <c r="D21" t="s">
        <v>39</v>
      </c>
      <c r="E21" t="s">
        <v>12</v>
      </c>
      <c r="F21" s="5">
        <v>1</v>
      </c>
      <c r="G21" s="3">
        <f t="shared" ca="1" si="0"/>
        <v>1083</v>
      </c>
      <c r="H21" s="4">
        <f t="shared" ca="1" si="7"/>
        <v>1083</v>
      </c>
      <c r="I21" s="6" t="s">
        <v>33</v>
      </c>
    </row>
    <row r="22" spans="1:9">
      <c r="A22" s="2">
        <v>45312</v>
      </c>
      <c r="B22" t="str">
        <f t="shared" si="2"/>
        <v>ORD021</v>
      </c>
      <c r="C22" t="s">
        <v>5</v>
      </c>
      <c r="D22" t="s">
        <v>30</v>
      </c>
      <c r="E22" t="s">
        <v>13</v>
      </c>
      <c r="F22" s="5">
        <v>2</v>
      </c>
      <c r="G22" s="3">
        <f t="shared" ca="1" si="0"/>
        <v>51071</v>
      </c>
      <c r="H22" s="4">
        <f t="shared" ca="1" si="7"/>
        <v>102142</v>
      </c>
      <c r="I22" s="6" t="s">
        <v>31</v>
      </c>
    </row>
    <row r="23" spans="1:9">
      <c r="A23" s="2">
        <v>45313</v>
      </c>
      <c r="B23" t="str">
        <f t="shared" si="2"/>
        <v>ORD022</v>
      </c>
      <c r="C23" t="s">
        <v>6</v>
      </c>
      <c r="D23" t="s">
        <v>30</v>
      </c>
      <c r="E23" t="s">
        <v>12</v>
      </c>
      <c r="F23" s="5">
        <v>3</v>
      </c>
      <c r="G23" s="3">
        <f t="shared" ca="1" si="0"/>
        <v>26331</v>
      </c>
      <c r="H23" s="4">
        <f t="shared" ref="H23:H80" ca="1" si="8">+F23*G23</f>
        <v>78993</v>
      </c>
      <c r="I23" s="6" t="s">
        <v>33</v>
      </c>
    </row>
    <row r="24" spans="1:9">
      <c r="A24" s="2">
        <v>45314</v>
      </c>
      <c r="B24" t="str">
        <f t="shared" si="2"/>
        <v>ORD023</v>
      </c>
      <c r="C24" t="s">
        <v>3</v>
      </c>
      <c r="D24" t="s">
        <v>35</v>
      </c>
      <c r="E24" t="s">
        <v>14</v>
      </c>
      <c r="F24" s="5">
        <v>4</v>
      </c>
      <c r="G24" s="3">
        <f t="shared" ca="1" si="0"/>
        <v>5923</v>
      </c>
      <c r="H24" s="4">
        <f t="shared" ca="1" si="8"/>
        <v>23692</v>
      </c>
      <c r="I24" s="6" t="s">
        <v>36</v>
      </c>
    </row>
    <row r="25" spans="1:9">
      <c r="A25" s="2">
        <v>45315</v>
      </c>
      <c r="B25" t="str">
        <f t="shared" si="2"/>
        <v>ORD024</v>
      </c>
      <c r="C25" t="s">
        <v>7</v>
      </c>
      <c r="D25" t="s">
        <v>35</v>
      </c>
      <c r="E25" t="s">
        <v>11</v>
      </c>
      <c r="F25" s="5">
        <v>5</v>
      </c>
      <c r="G25" s="3">
        <f t="shared" ca="1" si="0"/>
        <v>11160</v>
      </c>
      <c r="H25" s="4">
        <f t="shared" ca="1" si="8"/>
        <v>55800</v>
      </c>
      <c r="I25" s="6" t="s">
        <v>31</v>
      </c>
    </row>
    <row r="26" spans="1:9">
      <c r="A26" s="2">
        <v>45316</v>
      </c>
      <c r="B26" t="str">
        <f t="shared" si="2"/>
        <v>ORD025</v>
      </c>
      <c r="C26" t="s">
        <v>4</v>
      </c>
      <c r="D26" t="s">
        <v>39</v>
      </c>
      <c r="E26" t="s">
        <v>13</v>
      </c>
      <c r="F26" s="5">
        <v>6</v>
      </c>
      <c r="G26" s="3">
        <f t="shared" ca="1" si="0"/>
        <v>1908</v>
      </c>
      <c r="H26" s="4">
        <f t="shared" ref="H26:H28" ca="1" si="9">F26*G26</f>
        <v>11448</v>
      </c>
      <c r="I26" s="6" t="s">
        <v>33</v>
      </c>
    </row>
    <row r="27" spans="1:9">
      <c r="A27" s="2">
        <v>45317</v>
      </c>
      <c r="B27" t="str">
        <f t="shared" si="2"/>
        <v>ORD026</v>
      </c>
      <c r="C27" t="s">
        <v>5</v>
      </c>
      <c r="D27" t="s">
        <v>30</v>
      </c>
      <c r="E27" t="s">
        <v>12</v>
      </c>
      <c r="F27" s="5">
        <v>7</v>
      </c>
      <c r="G27" s="3">
        <f t="shared" ca="1" si="0"/>
        <v>59671</v>
      </c>
      <c r="H27" s="4">
        <f t="shared" ca="1" si="9"/>
        <v>417697</v>
      </c>
      <c r="I27" s="6" t="s">
        <v>31</v>
      </c>
    </row>
    <row r="28" spans="1:9">
      <c r="A28" s="2">
        <v>45318</v>
      </c>
      <c r="B28" t="str">
        <f t="shared" si="2"/>
        <v>ORD027</v>
      </c>
      <c r="C28" t="s">
        <v>6</v>
      </c>
      <c r="D28" t="s">
        <v>30</v>
      </c>
      <c r="E28" t="s">
        <v>13</v>
      </c>
      <c r="F28" s="5">
        <v>8</v>
      </c>
      <c r="G28" s="3">
        <f t="shared" ca="1" si="0"/>
        <v>18274</v>
      </c>
      <c r="H28" s="4">
        <f t="shared" ca="1" si="9"/>
        <v>146192</v>
      </c>
      <c r="I28" s="6" t="s">
        <v>33</v>
      </c>
    </row>
    <row r="29" spans="1:9">
      <c r="A29" s="2">
        <v>45319</v>
      </c>
      <c r="B29" t="str">
        <f t="shared" si="2"/>
        <v>ORD028</v>
      </c>
      <c r="C29" t="s">
        <v>3</v>
      </c>
      <c r="D29" t="s">
        <v>35</v>
      </c>
      <c r="E29" t="s">
        <v>11</v>
      </c>
      <c r="F29" s="5">
        <v>9</v>
      </c>
      <c r="G29" s="3">
        <f t="shared" ca="1" si="0"/>
        <v>3247</v>
      </c>
      <c r="H29" s="4">
        <f t="shared" ca="1" si="6"/>
        <v>29223</v>
      </c>
      <c r="I29" s="6" t="s">
        <v>36</v>
      </c>
    </row>
    <row r="30" spans="1:9">
      <c r="A30" s="2">
        <v>45320</v>
      </c>
      <c r="B30" t="str">
        <f t="shared" si="2"/>
        <v>ORD029</v>
      </c>
      <c r="C30" t="s">
        <v>7</v>
      </c>
      <c r="D30" t="s">
        <v>35</v>
      </c>
      <c r="E30" t="s">
        <v>14</v>
      </c>
      <c r="F30" s="5">
        <v>10</v>
      </c>
      <c r="G30" s="3">
        <f t="shared" ca="1" si="0"/>
        <v>7590</v>
      </c>
      <c r="H30" s="4">
        <f t="shared" ca="1" si="6"/>
        <v>75900</v>
      </c>
      <c r="I30" s="6" t="s">
        <v>31</v>
      </c>
    </row>
    <row r="31" spans="1:9">
      <c r="A31" s="2">
        <v>45321</v>
      </c>
      <c r="B31" t="str">
        <f t="shared" si="2"/>
        <v>ORD030</v>
      </c>
      <c r="C31" t="s">
        <v>4</v>
      </c>
      <c r="D31" t="s">
        <v>39</v>
      </c>
      <c r="E31" t="s">
        <v>12</v>
      </c>
      <c r="F31" s="5">
        <v>1</v>
      </c>
      <c r="G31" s="3">
        <f t="shared" ca="1" si="0"/>
        <v>1140</v>
      </c>
      <c r="H31" s="4">
        <f t="shared" ca="1" si="7"/>
        <v>1140</v>
      </c>
      <c r="I31" s="6" t="s">
        <v>33</v>
      </c>
    </row>
    <row r="32" spans="1:9">
      <c r="A32" s="2">
        <v>45322</v>
      </c>
      <c r="B32" t="str">
        <f t="shared" si="2"/>
        <v>ORD031</v>
      </c>
      <c r="C32" t="s">
        <v>5</v>
      </c>
      <c r="D32" t="s">
        <v>30</v>
      </c>
      <c r="E32" t="s">
        <v>13</v>
      </c>
      <c r="F32" s="5">
        <v>2</v>
      </c>
      <c r="G32" s="3">
        <f t="shared" ca="1" si="0"/>
        <v>50105</v>
      </c>
      <c r="H32" s="4">
        <f t="shared" ca="1" si="7"/>
        <v>100210</v>
      </c>
      <c r="I32" s="6" t="s">
        <v>31</v>
      </c>
    </row>
    <row r="33" spans="1:9">
      <c r="A33" s="2">
        <v>45323</v>
      </c>
      <c r="B33" t="str">
        <f t="shared" si="2"/>
        <v>ORD032</v>
      </c>
      <c r="C33" t="s">
        <v>6</v>
      </c>
      <c r="D33" t="s">
        <v>30</v>
      </c>
      <c r="E33" t="s">
        <v>12</v>
      </c>
      <c r="F33" s="5">
        <v>3</v>
      </c>
      <c r="G33" s="3">
        <f t="shared" ca="1" si="0"/>
        <v>29473</v>
      </c>
      <c r="H33" s="4">
        <f t="shared" ca="1" si="7"/>
        <v>88419</v>
      </c>
      <c r="I33" s="6" t="s">
        <v>33</v>
      </c>
    </row>
    <row r="34" spans="1:9">
      <c r="A34" s="2">
        <v>45324</v>
      </c>
      <c r="B34" t="str">
        <f t="shared" si="2"/>
        <v>ORD033</v>
      </c>
      <c r="C34" t="s">
        <v>3</v>
      </c>
      <c r="D34" t="s">
        <v>35</v>
      </c>
      <c r="E34" t="s">
        <v>14</v>
      </c>
      <c r="F34" s="5">
        <v>4</v>
      </c>
      <c r="G34" s="3">
        <f t="shared" ca="1" si="0"/>
        <v>4434</v>
      </c>
      <c r="H34" s="4">
        <f t="shared" ca="1" si="8"/>
        <v>17736</v>
      </c>
      <c r="I34" s="6" t="s">
        <v>36</v>
      </c>
    </row>
    <row r="35" spans="1:9">
      <c r="A35" s="2">
        <v>45325</v>
      </c>
      <c r="B35" t="str">
        <f t="shared" si="2"/>
        <v>ORD034</v>
      </c>
      <c r="C35" t="s">
        <v>7</v>
      </c>
      <c r="D35" t="s">
        <v>35</v>
      </c>
      <c r="E35" t="s">
        <v>11</v>
      </c>
      <c r="F35" s="5">
        <v>5</v>
      </c>
      <c r="G35" s="3">
        <f t="shared" ca="1" si="0"/>
        <v>4356</v>
      </c>
      <c r="H35" s="4">
        <f t="shared" ca="1" si="8"/>
        <v>21780</v>
      </c>
      <c r="I35" s="6" t="s">
        <v>31</v>
      </c>
    </row>
    <row r="36" spans="1:9">
      <c r="A36" s="2">
        <v>45326</v>
      </c>
      <c r="B36" t="str">
        <f t="shared" si="2"/>
        <v>ORD035</v>
      </c>
      <c r="C36" t="s">
        <v>4</v>
      </c>
      <c r="D36" t="s">
        <v>39</v>
      </c>
      <c r="E36" t="s">
        <v>13</v>
      </c>
      <c r="F36" s="5">
        <v>6</v>
      </c>
      <c r="G36" s="3">
        <f t="shared" ca="1" si="0"/>
        <v>2133</v>
      </c>
      <c r="H36" s="4">
        <f t="shared" ca="1" si="8"/>
        <v>12798</v>
      </c>
      <c r="I36" s="6" t="s">
        <v>33</v>
      </c>
    </row>
    <row r="37" spans="1:9">
      <c r="A37" s="2">
        <v>45327</v>
      </c>
      <c r="B37" t="str">
        <f t="shared" si="2"/>
        <v>ORD036</v>
      </c>
      <c r="C37" t="s">
        <v>5</v>
      </c>
      <c r="D37" t="s">
        <v>30</v>
      </c>
      <c r="E37" t="s">
        <v>12</v>
      </c>
      <c r="F37" s="5">
        <v>7</v>
      </c>
      <c r="G37" s="3">
        <f t="shared" ca="1" si="0"/>
        <v>50172</v>
      </c>
      <c r="H37" s="4">
        <f t="shared" ref="H37:H39" ca="1" si="10">F37*G37</f>
        <v>351204</v>
      </c>
      <c r="I37" s="6" t="s">
        <v>31</v>
      </c>
    </row>
    <row r="38" spans="1:9">
      <c r="A38" s="2">
        <v>45328</v>
      </c>
      <c r="B38" t="str">
        <f t="shared" si="2"/>
        <v>ORD037</v>
      </c>
      <c r="C38" t="s">
        <v>6</v>
      </c>
      <c r="D38" t="s">
        <v>30</v>
      </c>
      <c r="E38" t="s">
        <v>13</v>
      </c>
      <c r="F38" s="5">
        <v>8</v>
      </c>
      <c r="G38" s="3">
        <f t="shared" ca="1" si="0"/>
        <v>21782</v>
      </c>
      <c r="H38" s="4">
        <f t="shared" ca="1" si="10"/>
        <v>174256</v>
      </c>
      <c r="I38" s="6" t="s">
        <v>33</v>
      </c>
    </row>
    <row r="39" spans="1:9">
      <c r="A39" s="2">
        <v>45329</v>
      </c>
      <c r="B39" t="str">
        <f t="shared" si="2"/>
        <v>ORD038</v>
      </c>
      <c r="C39" t="s">
        <v>3</v>
      </c>
      <c r="D39" t="s">
        <v>35</v>
      </c>
      <c r="E39" t="s">
        <v>11</v>
      </c>
      <c r="F39" s="5">
        <v>9</v>
      </c>
      <c r="G39" s="3">
        <f t="shared" ca="1" si="0"/>
        <v>6618</v>
      </c>
      <c r="H39" s="4">
        <f t="shared" ca="1" si="10"/>
        <v>59562</v>
      </c>
      <c r="I39" s="6" t="s">
        <v>36</v>
      </c>
    </row>
    <row r="40" spans="1:9">
      <c r="A40" s="2">
        <v>45330</v>
      </c>
      <c r="B40" t="str">
        <f t="shared" si="2"/>
        <v>ORD039</v>
      </c>
      <c r="C40" t="s">
        <v>7</v>
      </c>
      <c r="D40" t="s">
        <v>35</v>
      </c>
      <c r="E40" t="s">
        <v>14</v>
      </c>
      <c r="F40" s="5">
        <v>10</v>
      </c>
      <c r="G40" s="3">
        <f t="shared" ca="1" si="0"/>
        <v>4691</v>
      </c>
      <c r="H40" s="4">
        <f t="shared" ca="1" si="6"/>
        <v>46910</v>
      </c>
      <c r="I40" s="6" t="s">
        <v>31</v>
      </c>
    </row>
    <row r="41" spans="1:9">
      <c r="A41" s="2">
        <v>45331</v>
      </c>
      <c r="B41" t="str">
        <f t="shared" si="2"/>
        <v>ORD040</v>
      </c>
      <c r="C41" t="s">
        <v>4</v>
      </c>
      <c r="D41" t="s">
        <v>39</v>
      </c>
      <c r="E41" t="s">
        <v>12</v>
      </c>
      <c r="F41" s="5">
        <v>2</v>
      </c>
      <c r="G41" s="3">
        <f t="shared" ca="1" si="0"/>
        <v>1176</v>
      </c>
      <c r="H41" s="4">
        <f t="shared" ca="1" si="6"/>
        <v>2352</v>
      </c>
      <c r="I41" s="6" t="s">
        <v>33</v>
      </c>
    </row>
    <row r="42" spans="1:9">
      <c r="A42" s="2">
        <v>45332</v>
      </c>
      <c r="B42" t="str">
        <f t="shared" si="2"/>
        <v>ORD041</v>
      </c>
      <c r="C42" t="s">
        <v>5</v>
      </c>
      <c r="D42" t="s">
        <v>30</v>
      </c>
      <c r="E42" t="s">
        <v>13</v>
      </c>
      <c r="F42" s="5">
        <v>3</v>
      </c>
      <c r="G42" s="3">
        <f t="shared" ca="1" si="0"/>
        <v>52145</v>
      </c>
      <c r="H42" s="4">
        <f t="shared" ca="1" si="7"/>
        <v>156435</v>
      </c>
      <c r="I42" s="6" t="s">
        <v>31</v>
      </c>
    </row>
    <row r="43" spans="1:9">
      <c r="A43" s="2">
        <v>45333</v>
      </c>
      <c r="B43" t="str">
        <f t="shared" si="2"/>
        <v>ORD042</v>
      </c>
      <c r="C43" t="s">
        <v>6</v>
      </c>
      <c r="D43" t="s">
        <v>30</v>
      </c>
      <c r="E43" t="s">
        <v>12</v>
      </c>
      <c r="F43" s="5">
        <v>4</v>
      </c>
      <c r="G43" s="3">
        <f t="shared" ca="1" si="0"/>
        <v>19541</v>
      </c>
      <c r="H43" s="4">
        <f t="shared" ca="1" si="7"/>
        <v>78164</v>
      </c>
      <c r="I43" s="6" t="s">
        <v>33</v>
      </c>
    </row>
    <row r="44" spans="1:9">
      <c r="A44" s="2">
        <v>45334</v>
      </c>
      <c r="B44" t="str">
        <f t="shared" si="2"/>
        <v>ORD043</v>
      </c>
      <c r="C44" t="s">
        <v>3</v>
      </c>
      <c r="D44" t="s">
        <v>35</v>
      </c>
      <c r="E44" t="s">
        <v>14</v>
      </c>
      <c r="F44" s="5">
        <v>5</v>
      </c>
      <c r="G44" s="3">
        <f t="shared" ca="1" si="0"/>
        <v>7410</v>
      </c>
      <c r="H44" s="4">
        <f t="shared" ca="1" si="7"/>
        <v>37050</v>
      </c>
      <c r="I44" s="6" t="s">
        <v>36</v>
      </c>
    </row>
    <row r="45" spans="1:9">
      <c r="A45" s="2">
        <v>45335</v>
      </c>
      <c r="B45" t="str">
        <f t="shared" si="2"/>
        <v>ORD044</v>
      </c>
      <c r="C45" t="s">
        <v>7</v>
      </c>
      <c r="D45" t="s">
        <v>35</v>
      </c>
      <c r="E45" t="s">
        <v>11</v>
      </c>
      <c r="F45" s="5">
        <v>6</v>
      </c>
      <c r="G45" s="3">
        <f t="shared" ca="1" si="0"/>
        <v>3271</v>
      </c>
      <c r="H45" s="4">
        <f t="shared" ca="1" si="8"/>
        <v>19626</v>
      </c>
      <c r="I45" s="6" t="s">
        <v>31</v>
      </c>
    </row>
    <row r="46" spans="1:9">
      <c r="A46" s="2">
        <v>45336</v>
      </c>
      <c r="B46" t="str">
        <f t="shared" si="2"/>
        <v>ORD045</v>
      </c>
      <c r="C46" t="s">
        <v>4</v>
      </c>
      <c r="D46" t="s">
        <v>39</v>
      </c>
      <c r="E46" t="s">
        <v>13</v>
      </c>
      <c r="F46" s="5">
        <v>7</v>
      </c>
      <c r="G46" s="3">
        <f t="shared" ca="1" si="0"/>
        <v>1065</v>
      </c>
      <c r="H46" s="4">
        <f t="shared" ca="1" si="8"/>
        <v>7455</v>
      </c>
      <c r="I46" s="6" t="s">
        <v>33</v>
      </c>
    </row>
    <row r="47" spans="1:9">
      <c r="A47" s="2">
        <v>45337</v>
      </c>
      <c r="B47" t="str">
        <f t="shared" si="2"/>
        <v>ORD046</v>
      </c>
      <c r="C47" t="s">
        <v>5</v>
      </c>
      <c r="D47" t="s">
        <v>30</v>
      </c>
      <c r="E47" t="s">
        <v>12</v>
      </c>
      <c r="F47" s="5">
        <v>8</v>
      </c>
      <c r="G47" s="3">
        <f t="shared" ca="1" si="0"/>
        <v>53585</v>
      </c>
      <c r="H47" s="4">
        <f t="shared" ca="1" si="8"/>
        <v>428680</v>
      </c>
      <c r="I47" s="6" t="s">
        <v>31</v>
      </c>
    </row>
    <row r="48" spans="1:9">
      <c r="A48" s="2">
        <v>45338</v>
      </c>
      <c r="B48" t="str">
        <f t="shared" si="2"/>
        <v>ORD047</v>
      </c>
      <c r="C48" t="s">
        <v>6</v>
      </c>
      <c r="D48" t="s">
        <v>30</v>
      </c>
      <c r="E48" t="s">
        <v>13</v>
      </c>
      <c r="F48" s="5">
        <v>9</v>
      </c>
      <c r="G48" s="3">
        <f t="shared" ca="1" si="0"/>
        <v>29580</v>
      </c>
      <c r="H48" s="4">
        <f t="shared" ref="H48:H50" ca="1" si="11">F48*G48</f>
        <v>266220</v>
      </c>
      <c r="I48" s="6" t="s">
        <v>33</v>
      </c>
    </row>
    <row r="49" spans="1:9">
      <c r="A49" s="2">
        <v>45339</v>
      </c>
      <c r="B49" t="str">
        <f t="shared" si="2"/>
        <v>ORD048</v>
      </c>
      <c r="C49" t="s">
        <v>3</v>
      </c>
      <c r="D49" t="s">
        <v>35</v>
      </c>
      <c r="E49" t="s">
        <v>11</v>
      </c>
      <c r="F49" s="5">
        <v>4</v>
      </c>
      <c r="G49" s="3">
        <f t="shared" ca="1" si="0"/>
        <v>5276</v>
      </c>
      <c r="H49" s="4">
        <f t="shared" ca="1" si="11"/>
        <v>21104</v>
      </c>
      <c r="I49" s="6" t="s">
        <v>36</v>
      </c>
    </row>
    <row r="50" spans="1:9">
      <c r="A50" s="2">
        <v>45340</v>
      </c>
      <c r="B50" t="str">
        <f t="shared" si="2"/>
        <v>ORD049</v>
      </c>
      <c r="C50" t="s">
        <v>7</v>
      </c>
      <c r="D50" t="s">
        <v>35</v>
      </c>
      <c r="E50" t="s">
        <v>14</v>
      </c>
      <c r="F50" s="5">
        <v>5</v>
      </c>
      <c r="G50" s="3">
        <f t="shared" ca="1" si="0"/>
        <v>6751</v>
      </c>
      <c r="H50" s="4">
        <f t="shared" ca="1" si="11"/>
        <v>33755</v>
      </c>
      <c r="I50" s="6" t="s">
        <v>31</v>
      </c>
    </row>
    <row r="51" spans="1:9">
      <c r="A51" s="2">
        <v>45341</v>
      </c>
      <c r="B51" t="str">
        <f t="shared" si="2"/>
        <v>ORD050</v>
      </c>
      <c r="C51" t="s">
        <v>4</v>
      </c>
      <c r="D51" t="s">
        <v>39</v>
      </c>
      <c r="E51" t="s">
        <v>12</v>
      </c>
      <c r="F51" s="5">
        <v>6</v>
      </c>
      <c r="G51" s="3">
        <f t="shared" ca="1" si="0"/>
        <v>1931</v>
      </c>
      <c r="H51" s="4">
        <f t="shared" ca="1" si="6"/>
        <v>11586</v>
      </c>
      <c r="I51" s="6" t="s">
        <v>33</v>
      </c>
    </row>
    <row r="52" spans="1:9">
      <c r="A52" s="2">
        <v>45342</v>
      </c>
      <c r="B52" t="str">
        <f t="shared" si="2"/>
        <v>ORD051</v>
      </c>
      <c r="C52" t="s">
        <v>5</v>
      </c>
      <c r="D52" t="s">
        <v>30</v>
      </c>
      <c r="E52" t="s">
        <v>13</v>
      </c>
      <c r="F52" s="5">
        <v>7</v>
      </c>
      <c r="G52" s="3">
        <f t="shared" ca="1" si="0"/>
        <v>55578</v>
      </c>
      <c r="H52" s="4">
        <f t="shared" ca="1" si="6"/>
        <v>389046</v>
      </c>
      <c r="I52" s="6" t="s">
        <v>31</v>
      </c>
    </row>
    <row r="53" spans="1:9">
      <c r="A53" s="2">
        <v>45343</v>
      </c>
      <c r="B53" t="str">
        <f t="shared" si="2"/>
        <v>ORD052</v>
      </c>
      <c r="C53" t="s">
        <v>6</v>
      </c>
      <c r="D53" t="s">
        <v>30</v>
      </c>
      <c r="E53" t="s">
        <v>12</v>
      </c>
      <c r="F53" s="5">
        <v>8</v>
      </c>
      <c r="G53" s="3">
        <f t="shared" ca="1" si="0"/>
        <v>16653</v>
      </c>
      <c r="H53" s="4">
        <f t="shared" ca="1" si="7"/>
        <v>133224</v>
      </c>
      <c r="I53" s="6" t="s">
        <v>33</v>
      </c>
    </row>
    <row r="54" spans="1:9">
      <c r="A54" s="2">
        <v>45344</v>
      </c>
      <c r="B54" t="str">
        <f t="shared" si="2"/>
        <v>ORD053</v>
      </c>
      <c r="C54" t="s">
        <v>3</v>
      </c>
      <c r="D54" t="s">
        <v>35</v>
      </c>
      <c r="E54" t="s">
        <v>14</v>
      </c>
      <c r="F54" s="5">
        <v>9</v>
      </c>
      <c r="G54" s="3">
        <f t="shared" ca="1" si="0"/>
        <v>3297</v>
      </c>
      <c r="H54" s="4">
        <f t="shared" ca="1" si="7"/>
        <v>29673</v>
      </c>
      <c r="I54" s="6" t="s">
        <v>36</v>
      </c>
    </row>
    <row r="55" spans="1:9">
      <c r="A55" s="2">
        <v>45345</v>
      </c>
      <c r="B55" t="str">
        <f t="shared" si="2"/>
        <v>ORD054</v>
      </c>
      <c r="C55" t="s">
        <v>7</v>
      </c>
      <c r="D55" t="s">
        <v>35</v>
      </c>
      <c r="E55" t="s">
        <v>11</v>
      </c>
      <c r="F55" s="5">
        <v>10</v>
      </c>
      <c r="G55" s="3">
        <f t="shared" ca="1" si="0"/>
        <v>7473</v>
      </c>
      <c r="H55" s="4">
        <f t="shared" ca="1" si="7"/>
        <v>74730</v>
      </c>
      <c r="I55" s="6" t="s">
        <v>31</v>
      </c>
    </row>
    <row r="56" spans="1:9">
      <c r="A56" s="2">
        <v>45346</v>
      </c>
      <c r="B56" t="str">
        <f t="shared" si="2"/>
        <v>ORD055</v>
      </c>
      <c r="C56" t="s">
        <v>4</v>
      </c>
      <c r="D56" t="s">
        <v>39</v>
      </c>
      <c r="E56" t="s">
        <v>13</v>
      </c>
      <c r="F56" s="5">
        <v>11</v>
      </c>
      <c r="G56" s="3">
        <f t="shared" ca="1" si="0"/>
        <v>1194</v>
      </c>
      <c r="H56" s="4">
        <f t="shared" ca="1" si="8"/>
        <v>13134</v>
      </c>
      <c r="I56" s="6" t="s">
        <v>33</v>
      </c>
    </row>
    <row r="57" spans="1:9">
      <c r="A57" s="2">
        <v>45347</v>
      </c>
      <c r="B57" t="str">
        <f t="shared" si="2"/>
        <v>ORD056</v>
      </c>
      <c r="C57" t="s">
        <v>5</v>
      </c>
      <c r="D57" t="s">
        <v>30</v>
      </c>
      <c r="E57" t="s">
        <v>12</v>
      </c>
      <c r="F57" s="5">
        <v>1</v>
      </c>
      <c r="G57" s="3">
        <f t="shared" ca="1" si="0"/>
        <v>40899</v>
      </c>
      <c r="H57" s="4">
        <f t="shared" ca="1" si="8"/>
        <v>40899</v>
      </c>
      <c r="I57" s="6" t="s">
        <v>31</v>
      </c>
    </row>
    <row r="58" spans="1:9">
      <c r="A58" s="2">
        <v>45348</v>
      </c>
      <c r="B58" t="str">
        <f t="shared" si="2"/>
        <v>ORD057</v>
      </c>
      <c r="C58" t="s">
        <v>6</v>
      </c>
      <c r="D58" t="s">
        <v>30</v>
      </c>
      <c r="E58" t="s">
        <v>13</v>
      </c>
      <c r="F58" s="5">
        <v>2</v>
      </c>
      <c r="G58" s="3">
        <f t="shared" ca="1" si="0"/>
        <v>29301</v>
      </c>
      <c r="H58" s="4">
        <f t="shared" ca="1" si="8"/>
        <v>58602</v>
      </c>
      <c r="I58" s="6" t="s">
        <v>33</v>
      </c>
    </row>
    <row r="59" spans="1:9">
      <c r="A59" s="2">
        <v>45349</v>
      </c>
      <c r="B59" t="str">
        <f t="shared" si="2"/>
        <v>ORD058</v>
      </c>
      <c r="C59" t="s">
        <v>3</v>
      </c>
      <c r="D59" t="s">
        <v>35</v>
      </c>
      <c r="E59" t="s">
        <v>11</v>
      </c>
      <c r="F59" s="5">
        <v>3</v>
      </c>
      <c r="G59" s="3">
        <f t="shared" ca="1" si="0"/>
        <v>8912</v>
      </c>
      <c r="H59" s="4">
        <f t="shared" ref="H59:H61" ca="1" si="12">F59*G59</f>
        <v>26736</v>
      </c>
      <c r="I59" s="6" t="s">
        <v>36</v>
      </c>
    </row>
    <row r="60" spans="1:9">
      <c r="A60" s="2">
        <v>45350</v>
      </c>
      <c r="B60" t="str">
        <f t="shared" si="2"/>
        <v>ORD059</v>
      </c>
      <c r="C60" t="s">
        <v>7</v>
      </c>
      <c r="D60" t="s">
        <v>35</v>
      </c>
      <c r="E60" t="s">
        <v>14</v>
      </c>
      <c r="F60" s="5">
        <v>4</v>
      </c>
      <c r="G60" s="3">
        <f t="shared" ca="1" si="0"/>
        <v>7592</v>
      </c>
      <c r="H60" s="4">
        <f t="shared" ca="1" si="12"/>
        <v>30368</v>
      </c>
      <c r="I60" s="6" t="s">
        <v>31</v>
      </c>
    </row>
    <row r="61" spans="1:9">
      <c r="A61" s="2">
        <v>45351</v>
      </c>
      <c r="B61" t="str">
        <f t="shared" si="2"/>
        <v>ORD060</v>
      </c>
      <c r="C61" t="s">
        <v>4</v>
      </c>
      <c r="D61" t="s">
        <v>39</v>
      </c>
      <c r="E61" t="s">
        <v>12</v>
      </c>
      <c r="F61" s="5">
        <v>5</v>
      </c>
      <c r="G61" s="3">
        <f t="shared" ca="1" si="0"/>
        <v>2878</v>
      </c>
      <c r="H61" s="4">
        <f t="shared" ca="1" si="12"/>
        <v>14390</v>
      </c>
      <c r="I61" s="6" t="s">
        <v>33</v>
      </c>
    </row>
    <row r="62" spans="1:9">
      <c r="A62" s="2">
        <v>45352</v>
      </c>
      <c r="B62" t="str">
        <f t="shared" si="2"/>
        <v>ORD061</v>
      </c>
      <c r="C62" t="s">
        <v>5</v>
      </c>
      <c r="D62" t="s">
        <v>30</v>
      </c>
      <c r="E62" t="s">
        <v>13</v>
      </c>
      <c r="F62" s="5">
        <v>6</v>
      </c>
      <c r="G62" s="3">
        <f t="shared" ca="1" si="0"/>
        <v>49611</v>
      </c>
      <c r="H62" s="4">
        <f t="shared" ca="1" si="6"/>
        <v>297666</v>
      </c>
      <c r="I62" s="6" t="s">
        <v>31</v>
      </c>
    </row>
    <row r="63" spans="1:9">
      <c r="A63" s="2">
        <v>45353</v>
      </c>
      <c r="B63" t="str">
        <f t="shared" si="2"/>
        <v>ORD062</v>
      </c>
      <c r="C63" t="s">
        <v>6</v>
      </c>
      <c r="D63" t="s">
        <v>30</v>
      </c>
      <c r="E63" t="s">
        <v>12</v>
      </c>
      <c r="F63" s="5">
        <v>7</v>
      </c>
      <c r="G63" s="3">
        <f t="shared" ca="1" si="0"/>
        <v>23077</v>
      </c>
      <c r="H63" s="4">
        <f t="shared" ca="1" si="6"/>
        <v>161539</v>
      </c>
      <c r="I63" s="6" t="s">
        <v>33</v>
      </c>
    </row>
    <row r="64" spans="1:9">
      <c r="A64" s="2">
        <v>45354</v>
      </c>
      <c r="B64" t="str">
        <f t="shared" si="2"/>
        <v>ORD063</v>
      </c>
      <c r="C64" t="s">
        <v>3</v>
      </c>
      <c r="D64" t="s">
        <v>35</v>
      </c>
      <c r="E64" t="s">
        <v>14</v>
      </c>
      <c r="F64" s="5">
        <v>8</v>
      </c>
      <c r="G64" s="3">
        <f t="shared" ca="1" si="0"/>
        <v>3695</v>
      </c>
      <c r="H64" s="4">
        <f t="shared" ca="1" si="7"/>
        <v>29560</v>
      </c>
      <c r="I64" s="6" t="s">
        <v>36</v>
      </c>
    </row>
    <row r="65" spans="1:9">
      <c r="A65" s="2">
        <v>45355</v>
      </c>
      <c r="B65" t="str">
        <f t="shared" si="2"/>
        <v>ORD064</v>
      </c>
      <c r="C65" t="s">
        <v>7</v>
      </c>
      <c r="D65" t="s">
        <v>35</v>
      </c>
      <c r="E65" t="s">
        <v>11</v>
      </c>
      <c r="F65" s="5">
        <v>9</v>
      </c>
      <c r="G65" s="3">
        <f t="shared" ca="1" si="0"/>
        <v>4953</v>
      </c>
      <c r="H65" s="4">
        <f t="shared" ca="1" si="7"/>
        <v>44577</v>
      </c>
      <c r="I65" s="6" t="s">
        <v>31</v>
      </c>
    </row>
    <row r="66" spans="1:9">
      <c r="A66" s="2">
        <v>45356</v>
      </c>
      <c r="B66" t="str">
        <f t="shared" si="2"/>
        <v>ORD065</v>
      </c>
      <c r="C66" t="s">
        <v>4</v>
      </c>
      <c r="D66" t="s">
        <v>39</v>
      </c>
      <c r="E66" t="s">
        <v>13</v>
      </c>
      <c r="F66" s="5">
        <v>10</v>
      </c>
      <c r="G66" s="3">
        <f t="shared" ca="1" si="0"/>
        <v>2021</v>
      </c>
      <c r="H66" s="4">
        <f t="shared" ca="1" si="7"/>
        <v>20210</v>
      </c>
      <c r="I66" s="6" t="s">
        <v>33</v>
      </c>
    </row>
    <row r="67" spans="1:9">
      <c r="A67" s="2">
        <v>45357</v>
      </c>
      <c r="B67" t="str">
        <f t="shared" si="2"/>
        <v>ORD066</v>
      </c>
      <c r="C67" t="s">
        <v>5</v>
      </c>
      <c r="D67" t="s">
        <v>30</v>
      </c>
      <c r="E67" t="s">
        <v>12</v>
      </c>
      <c r="F67" s="5">
        <v>11</v>
      </c>
      <c r="G67" s="3">
        <f t="shared" ref="G67:G130" ca="1" si="13">IF(C67= "Laptop",RANDBETWEEN(40000,60000),IF(C67="Mobile",RANDBETWEEN(15000,30000),IF(OR(C67="Chair",C67="Table"),RANDBETWEEN(3000,12000),RANDBETWEEN(800,3000))))</f>
        <v>45204</v>
      </c>
      <c r="H67" s="4">
        <f t="shared" ca="1" si="8"/>
        <v>497244</v>
      </c>
      <c r="I67" s="6" t="s">
        <v>31</v>
      </c>
    </row>
    <row r="68" spans="1:9">
      <c r="A68" s="2">
        <v>45358</v>
      </c>
      <c r="B68" t="str">
        <f t="shared" si="2"/>
        <v>ORD067</v>
      </c>
      <c r="C68" t="s">
        <v>6</v>
      </c>
      <c r="D68" t="s">
        <v>30</v>
      </c>
      <c r="E68" t="s">
        <v>13</v>
      </c>
      <c r="F68" s="5">
        <v>12</v>
      </c>
      <c r="G68" s="3">
        <f t="shared" ca="1" si="13"/>
        <v>17525</v>
      </c>
      <c r="H68" s="4">
        <f t="shared" ca="1" si="8"/>
        <v>210300</v>
      </c>
      <c r="I68" s="6" t="s">
        <v>33</v>
      </c>
    </row>
    <row r="69" spans="1:9">
      <c r="A69" s="2">
        <v>45359</v>
      </c>
      <c r="B69" t="str">
        <f t="shared" si="2"/>
        <v>ORD068</v>
      </c>
      <c r="C69" t="s">
        <v>3</v>
      </c>
      <c r="D69" t="s">
        <v>35</v>
      </c>
      <c r="E69" t="s">
        <v>11</v>
      </c>
      <c r="F69" s="5">
        <v>13</v>
      </c>
      <c r="G69" s="3">
        <f t="shared" ca="1" si="13"/>
        <v>11306</v>
      </c>
      <c r="H69" s="4">
        <f t="shared" ca="1" si="8"/>
        <v>146978</v>
      </c>
      <c r="I69" s="6" t="s">
        <v>36</v>
      </c>
    </row>
    <row r="70" spans="1:9">
      <c r="A70" s="2">
        <v>45360</v>
      </c>
      <c r="B70" t="str">
        <f t="shared" si="2"/>
        <v>ORD069</v>
      </c>
      <c r="C70" t="s">
        <v>7</v>
      </c>
      <c r="D70" t="s">
        <v>35</v>
      </c>
      <c r="E70" t="s">
        <v>14</v>
      </c>
      <c r="F70" s="5">
        <v>14</v>
      </c>
      <c r="G70" s="3">
        <f t="shared" ca="1" si="13"/>
        <v>9728</v>
      </c>
      <c r="H70" s="4">
        <f t="shared" ref="H70:H72" ca="1" si="14">F70*G70</f>
        <v>136192</v>
      </c>
      <c r="I70" s="6" t="s">
        <v>31</v>
      </c>
    </row>
    <row r="71" spans="1:9">
      <c r="A71" s="2">
        <v>45361</v>
      </c>
      <c r="B71" t="str">
        <f t="shared" si="2"/>
        <v>ORD070</v>
      </c>
      <c r="C71" t="s">
        <v>4</v>
      </c>
      <c r="D71" t="s">
        <v>39</v>
      </c>
      <c r="E71" t="s">
        <v>12</v>
      </c>
      <c r="F71" s="5">
        <v>15</v>
      </c>
      <c r="G71" s="3">
        <f t="shared" ca="1" si="13"/>
        <v>2392</v>
      </c>
      <c r="H71" s="4">
        <f t="shared" ca="1" si="14"/>
        <v>35880</v>
      </c>
      <c r="I71" s="6" t="s">
        <v>33</v>
      </c>
    </row>
    <row r="72" spans="1:9">
      <c r="A72" s="2">
        <v>45362</v>
      </c>
      <c r="B72" t="str">
        <f t="shared" ref="B72:B135" si="15">"ORD"&amp;TEXT(ROW()-1,"000")</f>
        <v>ORD071</v>
      </c>
      <c r="C72" t="s">
        <v>5</v>
      </c>
      <c r="D72" t="s">
        <v>30</v>
      </c>
      <c r="E72" t="s">
        <v>13</v>
      </c>
      <c r="F72" s="5">
        <v>3</v>
      </c>
      <c r="G72" s="3">
        <f t="shared" ca="1" si="13"/>
        <v>40210</v>
      </c>
      <c r="H72" s="4">
        <f t="shared" ca="1" si="14"/>
        <v>120630</v>
      </c>
      <c r="I72" s="6" t="s">
        <v>31</v>
      </c>
    </row>
    <row r="73" spans="1:9">
      <c r="A73" s="2">
        <v>45363</v>
      </c>
      <c r="B73" t="str">
        <f t="shared" si="15"/>
        <v>ORD072</v>
      </c>
      <c r="C73" t="s">
        <v>6</v>
      </c>
      <c r="D73" t="s">
        <v>30</v>
      </c>
      <c r="E73" t="s">
        <v>12</v>
      </c>
      <c r="F73" s="5">
        <v>4</v>
      </c>
      <c r="G73" s="3">
        <f t="shared" ca="1" si="13"/>
        <v>27473</v>
      </c>
      <c r="H73" s="4">
        <f t="shared" ca="1" si="6"/>
        <v>109892</v>
      </c>
      <c r="I73" s="6" t="s">
        <v>33</v>
      </c>
    </row>
    <row r="74" spans="1:9">
      <c r="A74" s="2">
        <v>45364</v>
      </c>
      <c r="B74" t="str">
        <f t="shared" si="15"/>
        <v>ORD073</v>
      </c>
      <c r="C74" t="s">
        <v>3</v>
      </c>
      <c r="D74" t="s">
        <v>35</v>
      </c>
      <c r="E74" t="s">
        <v>14</v>
      </c>
      <c r="F74" s="5">
        <v>5</v>
      </c>
      <c r="G74" s="3">
        <f t="shared" ca="1" si="13"/>
        <v>7923</v>
      </c>
      <c r="H74" s="4">
        <f t="shared" ca="1" si="6"/>
        <v>39615</v>
      </c>
      <c r="I74" s="6" t="s">
        <v>36</v>
      </c>
    </row>
    <row r="75" spans="1:9">
      <c r="A75" s="2">
        <v>45365</v>
      </c>
      <c r="B75" t="str">
        <f t="shared" si="15"/>
        <v>ORD074</v>
      </c>
      <c r="C75" t="s">
        <v>7</v>
      </c>
      <c r="D75" t="s">
        <v>35</v>
      </c>
      <c r="E75" t="s">
        <v>11</v>
      </c>
      <c r="F75" s="5">
        <v>6</v>
      </c>
      <c r="G75" s="3">
        <f t="shared" ca="1" si="13"/>
        <v>8007</v>
      </c>
      <c r="H75" s="4">
        <f t="shared" ca="1" si="7"/>
        <v>48042</v>
      </c>
      <c r="I75" s="6" t="s">
        <v>31</v>
      </c>
    </row>
    <row r="76" spans="1:9">
      <c r="A76" s="2">
        <v>45366</v>
      </c>
      <c r="B76" t="str">
        <f t="shared" si="15"/>
        <v>ORD075</v>
      </c>
      <c r="C76" t="s">
        <v>4</v>
      </c>
      <c r="D76" t="s">
        <v>39</v>
      </c>
      <c r="E76" t="s">
        <v>13</v>
      </c>
      <c r="F76" s="5">
        <v>7</v>
      </c>
      <c r="G76" s="3">
        <f t="shared" ca="1" si="13"/>
        <v>1074</v>
      </c>
      <c r="H76" s="4">
        <f t="shared" ca="1" si="7"/>
        <v>7518</v>
      </c>
      <c r="I76" s="6" t="s">
        <v>33</v>
      </c>
    </row>
    <row r="77" spans="1:9">
      <c r="A77" s="2">
        <v>45367</v>
      </c>
      <c r="B77" t="str">
        <f t="shared" si="15"/>
        <v>ORD076</v>
      </c>
      <c r="C77" t="s">
        <v>5</v>
      </c>
      <c r="D77" t="s">
        <v>30</v>
      </c>
      <c r="E77" t="s">
        <v>12</v>
      </c>
      <c r="F77" s="5">
        <v>8</v>
      </c>
      <c r="G77" s="3">
        <f t="shared" ca="1" si="13"/>
        <v>40363</v>
      </c>
      <c r="H77" s="4">
        <f t="shared" ca="1" si="7"/>
        <v>322904</v>
      </c>
      <c r="I77" s="6" t="s">
        <v>31</v>
      </c>
    </row>
    <row r="78" spans="1:9">
      <c r="A78" s="2">
        <v>45368</v>
      </c>
      <c r="B78" t="str">
        <f t="shared" si="15"/>
        <v>ORD077</v>
      </c>
      <c r="C78" t="s">
        <v>6</v>
      </c>
      <c r="D78" t="s">
        <v>30</v>
      </c>
      <c r="E78" t="s">
        <v>13</v>
      </c>
      <c r="F78" s="5">
        <v>9</v>
      </c>
      <c r="G78" s="3">
        <f t="shared" ca="1" si="13"/>
        <v>15553</v>
      </c>
      <c r="H78" s="4">
        <f t="shared" ca="1" si="8"/>
        <v>139977</v>
      </c>
      <c r="I78" s="6" t="s">
        <v>33</v>
      </c>
    </row>
    <row r="79" spans="1:9">
      <c r="A79" s="2">
        <v>45369</v>
      </c>
      <c r="B79" t="str">
        <f t="shared" si="15"/>
        <v>ORD078</v>
      </c>
      <c r="C79" t="s">
        <v>3</v>
      </c>
      <c r="D79" t="s">
        <v>35</v>
      </c>
      <c r="E79" t="s">
        <v>11</v>
      </c>
      <c r="F79" s="5">
        <v>1</v>
      </c>
      <c r="G79" s="3">
        <f t="shared" ca="1" si="13"/>
        <v>3783</v>
      </c>
      <c r="H79" s="4">
        <f t="shared" ca="1" si="8"/>
        <v>3783</v>
      </c>
      <c r="I79" s="6" t="s">
        <v>36</v>
      </c>
    </row>
    <row r="80" spans="1:9">
      <c r="A80" s="2">
        <v>45370</v>
      </c>
      <c r="B80" t="str">
        <f t="shared" si="15"/>
        <v>ORD079</v>
      </c>
      <c r="C80" t="s">
        <v>7</v>
      </c>
      <c r="D80" t="s">
        <v>35</v>
      </c>
      <c r="E80" t="s">
        <v>14</v>
      </c>
      <c r="F80" s="5">
        <v>2</v>
      </c>
      <c r="G80" s="3">
        <f t="shared" ca="1" si="13"/>
        <v>3614</v>
      </c>
      <c r="H80" s="4">
        <f t="shared" ca="1" si="8"/>
        <v>7228</v>
      </c>
      <c r="I80" s="6" t="s">
        <v>31</v>
      </c>
    </row>
    <row r="81" spans="1:9">
      <c r="A81" s="2">
        <v>45371</v>
      </c>
      <c r="B81" t="str">
        <f t="shared" si="15"/>
        <v>ORD080</v>
      </c>
      <c r="C81" t="s">
        <v>4</v>
      </c>
      <c r="D81" t="s">
        <v>39</v>
      </c>
      <c r="E81" t="s">
        <v>12</v>
      </c>
      <c r="F81" s="5">
        <v>3</v>
      </c>
      <c r="G81" s="3">
        <f t="shared" ca="1" si="13"/>
        <v>2136</v>
      </c>
      <c r="H81" s="4">
        <f t="shared" ref="H81:H83" ca="1" si="16">F81*G81</f>
        <v>6408</v>
      </c>
      <c r="I81" s="6" t="s">
        <v>33</v>
      </c>
    </row>
    <row r="82" spans="1:9">
      <c r="A82" s="2">
        <v>45372</v>
      </c>
      <c r="B82" t="str">
        <f t="shared" si="15"/>
        <v>ORD081</v>
      </c>
      <c r="C82" t="s">
        <v>5</v>
      </c>
      <c r="D82" t="s">
        <v>30</v>
      </c>
      <c r="E82" t="s">
        <v>13</v>
      </c>
      <c r="F82" s="5">
        <v>4</v>
      </c>
      <c r="G82" s="3">
        <f t="shared" ca="1" si="13"/>
        <v>50207</v>
      </c>
      <c r="H82" s="4">
        <f t="shared" ca="1" si="16"/>
        <v>200828</v>
      </c>
      <c r="I82" s="6" t="s">
        <v>31</v>
      </c>
    </row>
    <row r="83" spans="1:9">
      <c r="A83" s="2">
        <v>45373</v>
      </c>
      <c r="B83" t="str">
        <f t="shared" si="15"/>
        <v>ORD082</v>
      </c>
      <c r="C83" t="s">
        <v>6</v>
      </c>
      <c r="D83" t="s">
        <v>30</v>
      </c>
      <c r="E83" t="s">
        <v>12</v>
      </c>
      <c r="F83" s="5">
        <v>5</v>
      </c>
      <c r="G83" s="3">
        <f t="shared" ca="1" si="13"/>
        <v>21368</v>
      </c>
      <c r="H83" s="4">
        <f t="shared" ca="1" si="16"/>
        <v>106840</v>
      </c>
      <c r="I83" s="6" t="s">
        <v>33</v>
      </c>
    </row>
    <row r="84" spans="1:9">
      <c r="A84" s="2">
        <v>45374</v>
      </c>
      <c r="B84" t="str">
        <f t="shared" si="15"/>
        <v>ORD083</v>
      </c>
      <c r="C84" t="s">
        <v>3</v>
      </c>
      <c r="D84" t="s">
        <v>35</v>
      </c>
      <c r="E84" t="s">
        <v>14</v>
      </c>
      <c r="F84" s="5">
        <v>5</v>
      </c>
      <c r="G84" s="3">
        <f t="shared" ca="1" si="13"/>
        <v>8906</v>
      </c>
      <c r="H84" s="4">
        <f t="shared" ref="H84:H140" ca="1" si="17">+F84*G84</f>
        <v>44530</v>
      </c>
      <c r="I84" s="6" t="s">
        <v>36</v>
      </c>
    </row>
    <row r="85" spans="1:9">
      <c r="A85" s="2">
        <v>45375</v>
      </c>
      <c r="B85" t="str">
        <f t="shared" si="15"/>
        <v>ORD084</v>
      </c>
      <c r="C85" t="s">
        <v>7</v>
      </c>
      <c r="D85" t="s">
        <v>35</v>
      </c>
      <c r="E85" t="s">
        <v>11</v>
      </c>
      <c r="F85" s="5">
        <v>6</v>
      </c>
      <c r="G85" s="3">
        <f t="shared" ca="1" si="13"/>
        <v>8138</v>
      </c>
      <c r="H85" s="4">
        <f t="shared" ca="1" si="17"/>
        <v>48828</v>
      </c>
      <c r="I85" s="6" t="s">
        <v>31</v>
      </c>
    </row>
    <row r="86" spans="1:9">
      <c r="A86" s="2">
        <v>45376</v>
      </c>
      <c r="B86" t="str">
        <f t="shared" si="15"/>
        <v>ORD085</v>
      </c>
      <c r="C86" t="s">
        <v>4</v>
      </c>
      <c r="D86" t="s">
        <v>39</v>
      </c>
      <c r="E86" t="s">
        <v>13</v>
      </c>
      <c r="F86" s="5">
        <v>7</v>
      </c>
      <c r="G86" s="3">
        <f t="shared" ca="1" si="13"/>
        <v>2653</v>
      </c>
      <c r="H86" s="4">
        <f t="shared" ref="H86:H143" ca="1" si="18">F86*G86</f>
        <v>18571</v>
      </c>
      <c r="I86" s="6" t="s">
        <v>33</v>
      </c>
    </row>
    <row r="87" spans="1:9">
      <c r="A87" s="2">
        <v>45377</v>
      </c>
      <c r="B87" t="str">
        <f t="shared" si="15"/>
        <v>ORD086</v>
      </c>
      <c r="C87" t="s">
        <v>5</v>
      </c>
      <c r="D87" t="s">
        <v>30</v>
      </c>
      <c r="E87" t="s">
        <v>12</v>
      </c>
      <c r="F87" s="5">
        <v>8</v>
      </c>
      <c r="G87" s="3">
        <f t="shared" ca="1" si="13"/>
        <v>56789</v>
      </c>
      <c r="H87" s="4">
        <f t="shared" ca="1" si="18"/>
        <v>454312</v>
      </c>
      <c r="I87" s="6" t="s">
        <v>31</v>
      </c>
    </row>
    <row r="88" spans="1:9">
      <c r="A88" s="2">
        <v>45378</v>
      </c>
      <c r="B88" t="str">
        <f t="shared" si="15"/>
        <v>ORD087</v>
      </c>
      <c r="C88" t="s">
        <v>6</v>
      </c>
      <c r="D88" t="s">
        <v>30</v>
      </c>
      <c r="E88" t="s">
        <v>13</v>
      </c>
      <c r="F88" s="5">
        <v>4</v>
      </c>
      <c r="G88" s="3">
        <f t="shared" ca="1" si="13"/>
        <v>17995</v>
      </c>
      <c r="H88" s="4">
        <f t="shared" ca="1" si="18"/>
        <v>71980</v>
      </c>
      <c r="I88" s="6" t="s">
        <v>33</v>
      </c>
    </row>
    <row r="89" spans="1:9">
      <c r="A89" s="2">
        <v>45379</v>
      </c>
      <c r="B89" t="str">
        <f t="shared" si="15"/>
        <v>ORD088</v>
      </c>
      <c r="C89" t="s">
        <v>3</v>
      </c>
      <c r="D89" t="s">
        <v>35</v>
      </c>
      <c r="E89" t="s">
        <v>11</v>
      </c>
      <c r="F89" s="5">
        <v>3</v>
      </c>
      <c r="G89" s="3">
        <f t="shared" ca="1" si="13"/>
        <v>10580</v>
      </c>
      <c r="H89" s="4">
        <f t="shared" ref="H89:H146" ca="1" si="19">+F89*G89</f>
        <v>31740</v>
      </c>
      <c r="I89" s="6" t="s">
        <v>36</v>
      </c>
    </row>
    <row r="90" spans="1:9">
      <c r="A90" s="2">
        <v>45380</v>
      </c>
      <c r="B90" t="str">
        <f t="shared" si="15"/>
        <v>ORD089</v>
      </c>
      <c r="C90" t="s">
        <v>7</v>
      </c>
      <c r="D90" t="s">
        <v>35</v>
      </c>
      <c r="E90" t="s">
        <v>14</v>
      </c>
      <c r="F90" s="5">
        <v>5</v>
      </c>
      <c r="G90" s="3">
        <f t="shared" ca="1" si="13"/>
        <v>3541</v>
      </c>
      <c r="H90" s="4">
        <f t="shared" ca="1" si="19"/>
        <v>17705</v>
      </c>
      <c r="I90" s="6" t="s">
        <v>31</v>
      </c>
    </row>
    <row r="91" spans="1:9">
      <c r="A91" s="2">
        <v>45381</v>
      </c>
      <c r="B91" t="str">
        <f t="shared" si="15"/>
        <v>ORD090</v>
      </c>
      <c r="C91" t="s">
        <v>4</v>
      </c>
      <c r="D91" t="s">
        <v>39</v>
      </c>
      <c r="E91" t="s">
        <v>12</v>
      </c>
      <c r="F91" s="5">
        <v>6</v>
      </c>
      <c r="G91" s="3">
        <f t="shared" ca="1" si="13"/>
        <v>2070</v>
      </c>
      <c r="H91" s="4">
        <f t="shared" ca="1" si="19"/>
        <v>12420</v>
      </c>
      <c r="I91" s="6" t="s">
        <v>33</v>
      </c>
    </row>
    <row r="92" spans="1:9">
      <c r="A92" s="2">
        <v>45382</v>
      </c>
      <c r="B92" t="str">
        <f t="shared" si="15"/>
        <v>ORD091</v>
      </c>
      <c r="C92" t="s">
        <v>5</v>
      </c>
      <c r="D92" t="s">
        <v>30</v>
      </c>
      <c r="E92" t="s">
        <v>13</v>
      </c>
      <c r="F92" s="5">
        <v>3</v>
      </c>
      <c r="G92" s="3">
        <f t="shared" ca="1" si="13"/>
        <v>46047</v>
      </c>
      <c r="H92" s="4">
        <f t="shared" ref="H92:H94" ca="1" si="20">F92*G92</f>
        <v>138141</v>
      </c>
      <c r="I92" s="6" t="s">
        <v>31</v>
      </c>
    </row>
    <row r="93" spans="1:9">
      <c r="A93" s="2">
        <v>45383</v>
      </c>
      <c r="B93" t="str">
        <f t="shared" si="15"/>
        <v>ORD092</v>
      </c>
      <c r="C93" t="s">
        <v>6</v>
      </c>
      <c r="D93" t="s">
        <v>30</v>
      </c>
      <c r="E93" t="s">
        <v>12</v>
      </c>
      <c r="F93" s="5">
        <v>5</v>
      </c>
      <c r="G93" s="3">
        <f t="shared" ca="1" si="13"/>
        <v>19559</v>
      </c>
      <c r="H93" s="4">
        <f t="shared" ca="1" si="20"/>
        <v>97795</v>
      </c>
      <c r="I93" s="6" t="s">
        <v>33</v>
      </c>
    </row>
    <row r="94" spans="1:9">
      <c r="A94" s="2">
        <v>45384</v>
      </c>
      <c r="B94" t="str">
        <f t="shared" si="15"/>
        <v>ORD093</v>
      </c>
      <c r="C94" t="s">
        <v>3</v>
      </c>
      <c r="D94" t="s">
        <v>35</v>
      </c>
      <c r="E94" t="s">
        <v>14</v>
      </c>
      <c r="F94" s="5">
        <v>3</v>
      </c>
      <c r="G94" s="3">
        <f t="shared" ca="1" si="13"/>
        <v>6257</v>
      </c>
      <c r="H94" s="4">
        <f t="shared" ca="1" si="20"/>
        <v>18771</v>
      </c>
      <c r="I94" s="6" t="s">
        <v>36</v>
      </c>
    </row>
    <row r="95" spans="1:9">
      <c r="A95" s="2">
        <v>45385</v>
      </c>
      <c r="B95" t="str">
        <f t="shared" si="15"/>
        <v>ORD094</v>
      </c>
      <c r="C95" t="s">
        <v>7</v>
      </c>
      <c r="D95" t="s">
        <v>35</v>
      </c>
      <c r="E95" t="s">
        <v>11</v>
      </c>
      <c r="F95" s="5">
        <v>1</v>
      </c>
      <c r="G95" s="3">
        <f t="shared" ca="1" si="13"/>
        <v>4437</v>
      </c>
      <c r="H95" s="4">
        <f t="shared" ca="1" si="17"/>
        <v>4437</v>
      </c>
      <c r="I95" s="6" t="s">
        <v>31</v>
      </c>
    </row>
    <row r="96" spans="1:9">
      <c r="A96" s="2">
        <v>45386</v>
      </c>
      <c r="B96" t="str">
        <f t="shared" si="15"/>
        <v>ORD095</v>
      </c>
      <c r="C96" t="s">
        <v>4</v>
      </c>
      <c r="D96" t="s">
        <v>39</v>
      </c>
      <c r="E96" t="s">
        <v>13</v>
      </c>
      <c r="F96" s="5">
        <v>2</v>
      </c>
      <c r="G96" s="3">
        <f t="shared" ca="1" si="13"/>
        <v>1942</v>
      </c>
      <c r="H96" s="4">
        <f t="shared" ca="1" si="17"/>
        <v>3884</v>
      </c>
      <c r="I96" s="6" t="s">
        <v>33</v>
      </c>
    </row>
    <row r="97" spans="1:9">
      <c r="A97" s="2">
        <v>45387</v>
      </c>
      <c r="B97" t="str">
        <f t="shared" si="15"/>
        <v>ORD096</v>
      </c>
      <c r="C97" t="s">
        <v>5</v>
      </c>
      <c r="D97" t="s">
        <v>30</v>
      </c>
      <c r="E97" t="s">
        <v>12</v>
      </c>
      <c r="F97" s="5">
        <v>3</v>
      </c>
      <c r="G97" s="3">
        <f t="shared" ca="1" si="13"/>
        <v>49311</v>
      </c>
      <c r="H97" s="4">
        <f t="shared" ca="1" si="18"/>
        <v>147933</v>
      </c>
      <c r="I97" s="6" t="s">
        <v>31</v>
      </c>
    </row>
    <row r="98" spans="1:9">
      <c r="A98" s="2">
        <v>45388</v>
      </c>
      <c r="B98" t="str">
        <f t="shared" si="15"/>
        <v>ORD097</v>
      </c>
      <c r="C98" t="s">
        <v>6</v>
      </c>
      <c r="D98" t="s">
        <v>30</v>
      </c>
      <c r="E98" t="s">
        <v>13</v>
      </c>
      <c r="F98" s="5">
        <v>4</v>
      </c>
      <c r="G98" s="3">
        <f t="shared" ca="1" si="13"/>
        <v>27535</v>
      </c>
      <c r="H98" s="4">
        <f t="shared" ca="1" si="18"/>
        <v>110140</v>
      </c>
      <c r="I98" s="6" t="s">
        <v>33</v>
      </c>
    </row>
    <row r="99" spans="1:9">
      <c r="A99" s="2">
        <v>45389</v>
      </c>
      <c r="B99" t="str">
        <f t="shared" si="15"/>
        <v>ORD098</v>
      </c>
      <c r="C99" t="s">
        <v>3</v>
      </c>
      <c r="D99" t="s">
        <v>35</v>
      </c>
      <c r="E99" t="s">
        <v>11</v>
      </c>
      <c r="F99" s="5">
        <v>4</v>
      </c>
      <c r="G99" s="3">
        <f t="shared" ca="1" si="13"/>
        <v>5474</v>
      </c>
      <c r="H99" s="4">
        <f t="shared" ca="1" si="18"/>
        <v>21896</v>
      </c>
      <c r="I99" s="6" t="s">
        <v>36</v>
      </c>
    </row>
    <row r="100" spans="1:9">
      <c r="A100" s="2">
        <v>45390</v>
      </c>
      <c r="B100" t="str">
        <f t="shared" si="15"/>
        <v>ORD099</v>
      </c>
      <c r="C100" t="s">
        <v>7</v>
      </c>
      <c r="D100" t="s">
        <v>35</v>
      </c>
      <c r="E100" t="s">
        <v>14</v>
      </c>
      <c r="F100" s="5">
        <v>5</v>
      </c>
      <c r="G100" s="3">
        <f t="shared" ca="1" si="13"/>
        <v>7328</v>
      </c>
      <c r="H100" s="4">
        <f t="shared" ca="1" si="19"/>
        <v>36640</v>
      </c>
      <c r="I100" s="6" t="s">
        <v>31</v>
      </c>
    </row>
    <row r="101" spans="1:9">
      <c r="A101" s="2">
        <v>45391</v>
      </c>
      <c r="B101" t="str">
        <f t="shared" si="15"/>
        <v>ORD100</v>
      </c>
      <c r="C101" t="s">
        <v>4</v>
      </c>
      <c r="D101" t="s">
        <v>39</v>
      </c>
      <c r="E101" t="s">
        <v>12</v>
      </c>
      <c r="F101" s="5">
        <v>6</v>
      </c>
      <c r="G101" s="3">
        <f t="shared" ca="1" si="13"/>
        <v>2806</v>
      </c>
      <c r="H101" s="4">
        <f t="shared" ca="1" si="19"/>
        <v>16836</v>
      </c>
      <c r="I101" s="6" t="s">
        <v>33</v>
      </c>
    </row>
    <row r="102" spans="1:9">
      <c r="A102" s="2">
        <v>45392</v>
      </c>
      <c r="B102" t="str">
        <f t="shared" si="15"/>
        <v>ORD101</v>
      </c>
      <c r="C102" t="s">
        <v>5</v>
      </c>
      <c r="D102" t="s">
        <v>30</v>
      </c>
      <c r="E102" t="s">
        <v>13</v>
      </c>
      <c r="F102" s="5">
        <v>7</v>
      </c>
      <c r="G102" s="3">
        <f t="shared" ca="1" si="13"/>
        <v>40304</v>
      </c>
      <c r="H102" s="4">
        <f t="shared" ca="1" si="19"/>
        <v>282128</v>
      </c>
      <c r="I102" s="6" t="s">
        <v>31</v>
      </c>
    </row>
    <row r="103" spans="1:9">
      <c r="A103" s="2">
        <v>45393</v>
      </c>
      <c r="B103" t="str">
        <f t="shared" si="15"/>
        <v>ORD102</v>
      </c>
      <c r="C103" t="s">
        <v>6</v>
      </c>
      <c r="D103" t="s">
        <v>30</v>
      </c>
      <c r="E103" t="s">
        <v>12</v>
      </c>
      <c r="F103" s="5">
        <v>8</v>
      </c>
      <c r="G103" s="3">
        <f t="shared" ca="1" si="13"/>
        <v>18177</v>
      </c>
      <c r="H103" s="4">
        <f t="shared" ref="H103:H105" ca="1" si="21">F103*G103</f>
        <v>145416</v>
      </c>
      <c r="I103" s="6" t="s">
        <v>33</v>
      </c>
    </row>
    <row r="104" spans="1:9">
      <c r="A104" s="2">
        <v>45394</v>
      </c>
      <c r="B104" t="str">
        <f t="shared" si="15"/>
        <v>ORD103</v>
      </c>
      <c r="C104" t="s">
        <v>3</v>
      </c>
      <c r="D104" t="s">
        <v>35</v>
      </c>
      <c r="E104" t="s">
        <v>14</v>
      </c>
      <c r="F104" s="5">
        <v>3</v>
      </c>
      <c r="G104" s="3">
        <f t="shared" ca="1" si="13"/>
        <v>4016</v>
      </c>
      <c r="H104" s="4">
        <f t="shared" ca="1" si="21"/>
        <v>12048</v>
      </c>
      <c r="I104" s="6" t="s">
        <v>36</v>
      </c>
    </row>
    <row r="105" spans="1:9">
      <c r="A105" s="2">
        <v>45395</v>
      </c>
      <c r="B105" t="str">
        <f t="shared" si="15"/>
        <v>ORD104</v>
      </c>
      <c r="C105" t="s">
        <v>7</v>
      </c>
      <c r="D105" t="s">
        <v>35</v>
      </c>
      <c r="E105" t="s">
        <v>11</v>
      </c>
      <c r="F105" s="5">
        <v>3</v>
      </c>
      <c r="G105" s="3">
        <f t="shared" ca="1" si="13"/>
        <v>8108</v>
      </c>
      <c r="H105" s="4">
        <f t="shared" ca="1" si="21"/>
        <v>24324</v>
      </c>
      <c r="I105" s="6" t="s">
        <v>31</v>
      </c>
    </row>
    <row r="106" spans="1:9">
      <c r="A106" s="2">
        <v>45396</v>
      </c>
      <c r="B106" t="str">
        <f t="shared" si="15"/>
        <v>ORD105</v>
      </c>
      <c r="C106" t="s">
        <v>4</v>
      </c>
      <c r="D106" t="s">
        <v>39</v>
      </c>
      <c r="E106" t="s">
        <v>13</v>
      </c>
      <c r="F106" s="5">
        <v>5</v>
      </c>
      <c r="G106" s="3">
        <f t="shared" ca="1" si="13"/>
        <v>2240</v>
      </c>
      <c r="H106" s="4">
        <f t="shared" ca="1" si="17"/>
        <v>11200</v>
      </c>
      <c r="I106" s="6" t="s">
        <v>33</v>
      </c>
    </row>
    <row r="107" spans="1:9">
      <c r="A107" s="2">
        <v>45397</v>
      </c>
      <c r="B107" t="str">
        <f t="shared" si="15"/>
        <v>ORD106</v>
      </c>
      <c r="C107" t="s">
        <v>5</v>
      </c>
      <c r="D107" t="s">
        <v>30</v>
      </c>
      <c r="E107" t="s">
        <v>12</v>
      </c>
      <c r="F107" s="5">
        <v>3</v>
      </c>
      <c r="G107" s="3">
        <f t="shared" ca="1" si="13"/>
        <v>45897</v>
      </c>
      <c r="H107" s="4">
        <f t="shared" ca="1" si="17"/>
        <v>137691</v>
      </c>
      <c r="I107" s="6" t="s">
        <v>31</v>
      </c>
    </row>
    <row r="108" spans="1:9">
      <c r="A108" s="2">
        <v>45398</v>
      </c>
      <c r="B108" t="str">
        <f t="shared" si="15"/>
        <v>ORD107</v>
      </c>
      <c r="C108" t="s">
        <v>6</v>
      </c>
      <c r="D108" t="s">
        <v>30</v>
      </c>
      <c r="E108" t="s">
        <v>13</v>
      </c>
      <c r="F108" s="5">
        <v>1</v>
      </c>
      <c r="G108" s="3">
        <f t="shared" ca="1" si="13"/>
        <v>16001</v>
      </c>
      <c r="H108" s="4">
        <f t="shared" ca="1" si="18"/>
        <v>16001</v>
      </c>
      <c r="I108" s="6" t="s">
        <v>33</v>
      </c>
    </row>
    <row r="109" spans="1:9">
      <c r="A109" s="2">
        <v>45399</v>
      </c>
      <c r="B109" t="str">
        <f t="shared" si="15"/>
        <v>ORD108</v>
      </c>
      <c r="C109" t="s">
        <v>3</v>
      </c>
      <c r="D109" t="s">
        <v>35</v>
      </c>
      <c r="E109" t="s">
        <v>11</v>
      </c>
      <c r="F109" s="5">
        <v>2</v>
      </c>
      <c r="G109" s="3">
        <f t="shared" ca="1" si="13"/>
        <v>6301</v>
      </c>
      <c r="H109" s="4">
        <f t="shared" ca="1" si="18"/>
        <v>12602</v>
      </c>
      <c r="I109" s="6" t="s">
        <v>36</v>
      </c>
    </row>
    <row r="110" spans="1:9">
      <c r="A110" s="2">
        <v>45400</v>
      </c>
      <c r="B110" t="str">
        <f t="shared" si="15"/>
        <v>ORD109</v>
      </c>
      <c r="C110" t="s">
        <v>7</v>
      </c>
      <c r="D110" t="s">
        <v>35</v>
      </c>
      <c r="E110" t="s">
        <v>14</v>
      </c>
      <c r="F110" s="5">
        <v>1</v>
      </c>
      <c r="G110" s="3">
        <f t="shared" ca="1" si="13"/>
        <v>10244</v>
      </c>
      <c r="H110" s="4">
        <f t="shared" ca="1" si="18"/>
        <v>10244</v>
      </c>
      <c r="I110" s="6" t="s">
        <v>31</v>
      </c>
    </row>
    <row r="111" spans="1:9">
      <c r="A111" s="2">
        <v>45401</v>
      </c>
      <c r="B111" t="str">
        <f t="shared" si="15"/>
        <v>ORD110</v>
      </c>
      <c r="C111" t="s">
        <v>4</v>
      </c>
      <c r="D111" t="s">
        <v>39</v>
      </c>
      <c r="E111" t="s">
        <v>12</v>
      </c>
      <c r="F111" s="5">
        <v>2</v>
      </c>
      <c r="G111" s="3">
        <f t="shared" ca="1" si="13"/>
        <v>2385</v>
      </c>
      <c r="H111" s="4">
        <f t="shared" ca="1" si="19"/>
        <v>4770</v>
      </c>
      <c r="I111" s="6" t="s">
        <v>33</v>
      </c>
    </row>
    <row r="112" spans="1:9">
      <c r="A112" s="2">
        <v>45402</v>
      </c>
      <c r="B112" t="str">
        <f t="shared" si="15"/>
        <v>ORD111</v>
      </c>
      <c r="C112" t="s">
        <v>5</v>
      </c>
      <c r="D112" t="s">
        <v>30</v>
      </c>
      <c r="E112" t="s">
        <v>13</v>
      </c>
      <c r="F112" s="5">
        <v>3</v>
      </c>
      <c r="G112" s="3">
        <f t="shared" ca="1" si="13"/>
        <v>59875</v>
      </c>
      <c r="H112" s="4">
        <f t="shared" ca="1" si="19"/>
        <v>179625</v>
      </c>
      <c r="I112" s="6" t="s">
        <v>31</v>
      </c>
    </row>
    <row r="113" spans="1:9">
      <c r="A113" s="2">
        <v>45403</v>
      </c>
      <c r="B113" t="str">
        <f t="shared" si="15"/>
        <v>ORD112</v>
      </c>
      <c r="C113" t="s">
        <v>6</v>
      </c>
      <c r="D113" t="s">
        <v>30</v>
      </c>
      <c r="E113" t="s">
        <v>12</v>
      </c>
      <c r="F113" s="5">
        <v>4</v>
      </c>
      <c r="G113" s="3">
        <f t="shared" ca="1" si="13"/>
        <v>19441</v>
      </c>
      <c r="H113" s="4">
        <f t="shared" ca="1" si="19"/>
        <v>77764</v>
      </c>
      <c r="I113" s="6" t="s">
        <v>33</v>
      </c>
    </row>
    <row r="114" spans="1:9">
      <c r="A114" s="2">
        <v>45404</v>
      </c>
      <c r="B114" t="str">
        <f t="shared" si="15"/>
        <v>ORD113</v>
      </c>
      <c r="C114" t="s">
        <v>3</v>
      </c>
      <c r="D114" t="s">
        <v>35</v>
      </c>
      <c r="E114" t="s">
        <v>14</v>
      </c>
      <c r="F114" s="5">
        <v>6</v>
      </c>
      <c r="G114" s="3">
        <f t="shared" ca="1" si="13"/>
        <v>11698</v>
      </c>
      <c r="H114" s="4">
        <f t="shared" ref="H114:H116" ca="1" si="22">F114*G114</f>
        <v>70188</v>
      </c>
      <c r="I114" s="6" t="s">
        <v>36</v>
      </c>
    </row>
    <row r="115" spans="1:9">
      <c r="A115" s="2">
        <v>45405</v>
      </c>
      <c r="B115" t="str">
        <f t="shared" si="15"/>
        <v>ORD114</v>
      </c>
      <c r="C115" t="s">
        <v>7</v>
      </c>
      <c r="D115" t="s">
        <v>35</v>
      </c>
      <c r="E115" t="s">
        <v>11</v>
      </c>
      <c r="F115" s="5">
        <v>6</v>
      </c>
      <c r="G115" s="3">
        <f t="shared" ca="1" si="13"/>
        <v>9895</v>
      </c>
      <c r="H115" s="4">
        <f t="shared" ca="1" si="22"/>
        <v>59370</v>
      </c>
      <c r="I115" s="6" t="s">
        <v>31</v>
      </c>
    </row>
    <row r="116" spans="1:9">
      <c r="A116" s="2">
        <v>45406</v>
      </c>
      <c r="B116" t="str">
        <f t="shared" si="15"/>
        <v>ORD115</v>
      </c>
      <c r="C116" t="s">
        <v>4</v>
      </c>
      <c r="D116" t="s">
        <v>39</v>
      </c>
      <c r="E116" t="s">
        <v>13</v>
      </c>
      <c r="F116" s="5">
        <v>2</v>
      </c>
      <c r="G116" s="3">
        <f t="shared" ca="1" si="13"/>
        <v>2099</v>
      </c>
      <c r="H116" s="4">
        <f t="shared" ca="1" si="22"/>
        <v>4198</v>
      </c>
      <c r="I116" s="6" t="s">
        <v>33</v>
      </c>
    </row>
    <row r="117" spans="1:9">
      <c r="A117" s="2">
        <v>45407</v>
      </c>
      <c r="B117" t="str">
        <f t="shared" si="15"/>
        <v>ORD116</v>
      </c>
      <c r="C117" t="s">
        <v>5</v>
      </c>
      <c r="D117" t="s">
        <v>30</v>
      </c>
      <c r="E117" t="s">
        <v>12</v>
      </c>
      <c r="F117" s="5">
        <v>9</v>
      </c>
      <c r="G117" s="3">
        <f t="shared" ca="1" si="13"/>
        <v>53072</v>
      </c>
      <c r="H117" s="4">
        <f t="shared" ca="1" si="17"/>
        <v>477648</v>
      </c>
      <c r="I117" s="6" t="s">
        <v>31</v>
      </c>
    </row>
    <row r="118" spans="1:9">
      <c r="A118" s="2">
        <v>45408</v>
      </c>
      <c r="B118" t="str">
        <f t="shared" si="15"/>
        <v>ORD117</v>
      </c>
      <c r="C118" t="s">
        <v>6</v>
      </c>
      <c r="D118" t="s">
        <v>30</v>
      </c>
      <c r="E118" t="s">
        <v>13</v>
      </c>
      <c r="F118" s="5">
        <v>7</v>
      </c>
      <c r="G118" s="3">
        <f t="shared" ca="1" si="13"/>
        <v>26892</v>
      </c>
      <c r="H118" s="4">
        <f t="shared" ca="1" si="17"/>
        <v>188244</v>
      </c>
      <c r="I118" s="6" t="s">
        <v>33</v>
      </c>
    </row>
    <row r="119" spans="1:9">
      <c r="A119" s="2">
        <v>45409</v>
      </c>
      <c r="B119" t="str">
        <f t="shared" si="15"/>
        <v>ORD118</v>
      </c>
      <c r="C119" t="s">
        <v>3</v>
      </c>
      <c r="D119" t="s">
        <v>35</v>
      </c>
      <c r="E119" t="s">
        <v>11</v>
      </c>
      <c r="F119" s="5">
        <v>5</v>
      </c>
      <c r="G119" s="3">
        <f t="shared" ca="1" si="13"/>
        <v>6856</v>
      </c>
      <c r="H119" s="4">
        <f t="shared" ca="1" si="18"/>
        <v>34280</v>
      </c>
      <c r="I119" s="6" t="s">
        <v>36</v>
      </c>
    </row>
    <row r="120" spans="1:9">
      <c r="A120" s="2">
        <v>45410</v>
      </c>
      <c r="B120" t="str">
        <f t="shared" si="15"/>
        <v>ORD119</v>
      </c>
      <c r="C120" t="s">
        <v>7</v>
      </c>
      <c r="D120" t="s">
        <v>35</v>
      </c>
      <c r="E120" t="s">
        <v>14</v>
      </c>
      <c r="F120" s="5">
        <v>4</v>
      </c>
      <c r="G120" s="3">
        <f t="shared" ca="1" si="13"/>
        <v>9794</v>
      </c>
      <c r="H120" s="4">
        <f t="shared" ca="1" si="18"/>
        <v>39176</v>
      </c>
      <c r="I120" s="6" t="s">
        <v>31</v>
      </c>
    </row>
    <row r="121" spans="1:9">
      <c r="A121" s="2">
        <v>45411</v>
      </c>
      <c r="B121" t="str">
        <f t="shared" si="15"/>
        <v>ORD120</v>
      </c>
      <c r="C121" t="s">
        <v>4</v>
      </c>
      <c r="D121" t="s">
        <v>39</v>
      </c>
      <c r="E121" t="s">
        <v>12</v>
      </c>
      <c r="F121" s="5">
        <v>3</v>
      </c>
      <c r="G121" s="3">
        <f t="shared" ca="1" si="13"/>
        <v>1496</v>
      </c>
      <c r="H121" s="4">
        <f t="shared" ca="1" si="18"/>
        <v>4488</v>
      </c>
      <c r="I121" s="6" t="s">
        <v>33</v>
      </c>
    </row>
    <row r="122" spans="1:9">
      <c r="A122" s="2">
        <v>45412</v>
      </c>
      <c r="B122" t="str">
        <f t="shared" si="15"/>
        <v>ORD121</v>
      </c>
      <c r="C122" t="s">
        <v>5</v>
      </c>
      <c r="D122" t="s">
        <v>30</v>
      </c>
      <c r="E122" t="s">
        <v>13</v>
      </c>
      <c r="F122" s="5">
        <v>2</v>
      </c>
      <c r="G122" s="3">
        <f t="shared" ca="1" si="13"/>
        <v>42754</v>
      </c>
      <c r="H122" s="4">
        <f t="shared" ca="1" si="19"/>
        <v>85508</v>
      </c>
      <c r="I122" s="6" t="s">
        <v>31</v>
      </c>
    </row>
    <row r="123" spans="1:9">
      <c r="A123" s="2">
        <v>45413</v>
      </c>
      <c r="B123" t="str">
        <f t="shared" si="15"/>
        <v>ORD122</v>
      </c>
      <c r="C123" t="s">
        <v>6</v>
      </c>
      <c r="D123" t="s">
        <v>30</v>
      </c>
      <c r="E123" t="s">
        <v>12</v>
      </c>
      <c r="F123" s="5">
        <v>2</v>
      </c>
      <c r="G123" s="3">
        <f t="shared" ca="1" si="13"/>
        <v>15534</v>
      </c>
      <c r="H123" s="4">
        <f t="shared" ca="1" si="19"/>
        <v>31068</v>
      </c>
      <c r="I123" s="6" t="s">
        <v>33</v>
      </c>
    </row>
    <row r="124" spans="1:9">
      <c r="A124" s="2">
        <v>45414</v>
      </c>
      <c r="B124" t="str">
        <f t="shared" si="15"/>
        <v>ORD123</v>
      </c>
      <c r="C124" t="s">
        <v>3</v>
      </c>
      <c r="D124" t="s">
        <v>35</v>
      </c>
      <c r="E124" t="s">
        <v>14</v>
      </c>
      <c r="F124" s="5">
        <v>6</v>
      </c>
      <c r="G124" s="3">
        <f t="shared" ca="1" si="13"/>
        <v>6743</v>
      </c>
      <c r="H124" s="4">
        <f t="shared" ca="1" si="19"/>
        <v>40458</v>
      </c>
      <c r="I124" s="6" t="s">
        <v>36</v>
      </c>
    </row>
    <row r="125" spans="1:9">
      <c r="A125" s="2">
        <v>45415</v>
      </c>
      <c r="B125" t="str">
        <f t="shared" si="15"/>
        <v>ORD124</v>
      </c>
      <c r="C125" t="s">
        <v>7</v>
      </c>
      <c r="D125" t="s">
        <v>35</v>
      </c>
      <c r="E125" t="s">
        <v>11</v>
      </c>
      <c r="F125" s="5">
        <v>7</v>
      </c>
      <c r="G125" s="3">
        <f t="shared" ca="1" si="13"/>
        <v>9731</v>
      </c>
      <c r="H125" s="4">
        <f t="shared" ref="H125:H127" ca="1" si="23">F125*G125</f>
        <v>68117</v>
      </c>
      <c r="I125" s="6" t="s">
        <v>31</v>
      </c>
    </row>
    <row r="126" spans="1:9">
      <c r="A126" s="2">
        <v>45416</v>
      </c>
      <c r="B126" t="str">
        <f t="shared" si="15"/>
        <v>ORD125</v>
      </c>
      <c r="C126" t="s">
        <v>4</v>
      </c>
      <c r="D126" t="s">
        <v>39</v>
      </c>
      <c r="E126" t="s">
        <v>13</v>
      </c>
      <c r="F126" s="5">
        <v>8</v>
      </c>
      <c r="G126" s="3">
        <f t="shared" ca="1" si="13"/>
        <v>2390</v>
      </c>
      <c r="H126" s="4">
        <f t="shared" ca="1" si="23"/>
        <v>19120</v>
      </c>
      <c r="I126" s="6" t="s">
        <v>33</v>
      </c>
    </row>
    <row r="127" spans="1:9">
      <c r="A127" s="2">
        <v>45417</v>
      </c>
      <c r="B127" t="str">
        <f t="shared" si="15"/>
        <v>ORD126</v>
      </c>
      <c r="C127" t="s">
        <v>5</v>
      </c>
      <c r="D127" t="s">
        <v>30</v>
      </c>
      <c r="E127" t="s">
        <v>12</v>
      </c>
      <c r="F127" s="5">
        <v>9</v>
      </c>
      <c r="G127" s="3">
        <f t="shared" ca="1" si="13"/>
        <v>49427</v>
      </c>
      <c r="H127" s="4">
        <f t="shared" ca="1" si="23"/>
        <v>444843</v>
      </c>
      <c r="I127" s="6" t="s">
        <v>31</v>
      </c>
    </row>
    <row r="128" spans="1:9">
      <c r="A128" s="2">
        <v>45418</v>
      </c>
      <c r="B128" t="str">
        <f t="shared" si="15"/>
        <v>ORD127</v>
      </c>
      <c r="C128" t="s">
        <v>6</v>
      </c>
      <c r="D128" t="s">
        <v>30</v>
      </c>
      <c r="E128" t="s">
        <v>13</v>
      </c>
      <c r="F128" s="5">
        <v>1</v>
      </c>
      <c r="G128" s="3">
        <f t="shared" ca="1" si="13"/>
        <v>24003</v>
      </c>
      <c r="H128" s="4">
        <f t="shared" ca="1" si="17"/>
        <v>24003</v>
      </c>
      <c r="I128" s="6" t="s">
        <v>33</v>
      </c>
    </row>
    <row r="129" spans="1:9">
      <c r="A129" s="2">
        <v>45419</v>
      </c>
      <c r="B129" t="str">
        <f t="shared" si="15"/>
        <v>ORD128</v>
      </c>
      <c r="C129" t="s">
        <v>3</v>
      </c>
      <c r="D129" t="s">
        <v>35</v>
      </c>
      <c r="E129" t="s">
        <v>11</v>
      </c>
      <c r="F129" s="5">
        <v>3</v>
      </c>
      <c r="G129" s="3">
        <f t="shared" ca="1" si="13"/>
        <v>7344</v>
      </c>
      <c r="H129" s="4">
        <f t="shared" ca="1" si="17"/>
        <v>22032</v>
      </c>
      <c r="I129" s="6" t="s">
        <v>36</v>
      </c>
    </row>
    <row r="130" spans="1:9">
      <c r="A130" s="2">
        <v>45420</v>
      </c>
      <c r="B130" t="str">
        <f t="shared" si="15"/>
        <v>ORD129</v>
      </c>
      <c r="C130" t="s">
        <v>7</v>
      </c>
      <c r="D130" t="s">
        <v>35</v>
      </c>
      <c r="E130" t="s">
        <v>14</v>
      </c>
      <c r="F130" s="5">
        <v>4</v>
      </c>
      <c r="G130" s="3">
        <f t="shared" ca="1" si="13"/>
        <v>4712</v>
      </c>
      <c r="H130" s="4">
        <f t="shared" ca="1" si="18"/>
        <v>18848</v>
      </c>
      <c r="I130" s="6" t="s">
        <v>31</v>
      </c>
    </row>
    <row r="131" spans="1:9">
      <c r="A131" s="2">
        <v>45421</v>
      </c>
      <c r="B131" t="str">
        <f t="shared" si="15"/>
        <v>ORD130</v>
      </c>
      <c r="C131" t="s">
        <v>4</v>
      </c>
      <c r="D131" t="s">
        <v>39</v>
      </c>
      <c r="E131" t="s">
        <v>12</v>
      </c>
      <c r="F131" s="5">
        <v>5</v>
      </c>
      <c r="G131" s="3">
        <f t="shared" ref="G131:G194" ca="1" si="24">IF(C131= "Laptop",RANDBETWEEN(40000,60000),IF(C131="Mobile",RANDBETWEEN(15000,30000),IF(OR(C131="Chair",C131="Table"),RANDBETWEEN(3000,12000),RANDBETWEEN(800,3000))))</f>
        <v>1145</v>
      </c>
      <c r="H131" s="4">
        <f t="shared" ca="1" si="18"/>
        <v>5725</v>
      </c>
      <c r="I131" s="6" t="s">
        <v>33</v>
      </c>
    </row>
    <row r="132" spans="1:9">
      <c r="A132" s="2">
        <v>45422</v>
      </c>
      <c r="B132" t="str">
        <f t="shared" si="15"/>
        <v>ORD131</v>
      </c>
      <c r="C132" t="s">
        <v>5</v>
      </c>
      <c r="D132" t="s">
        <v>30</v>
      </c>
      <c r="E132" t="s">
        <v>13</v>
      </c>
      <c r="F132" s="5">
        <v>6</v>
      </c>
      <c r="G132" s="3">
        <f t="shared" ca="1" si="24"/>
        <v>59702</v>
      </c>
      <c r="H132" s="4">
        <f t="shared" ca="1" si="18"/>
        <v>358212</v>
      </c>
      <c r="I132" s="6" t="s">
        <v>31</v>
      </c>
    </row>
    <row r="133" spans="1:9">
      <c r="A133" s="2">
        <v>45423</v>
      </c>
      <c r="B133" t="str">
        <f t="shared" si="15"/>
        <v>ORD132</v>
      </c>
      <c r="C133" t="s">
        <v>6</v>
      </c>
      <c r="D133" t="s">
        <v>30</v>
      </c>
      <c r="E133" t="s">
        <v>12</v>
      </c>
      <c r="F133" s="5">
        <v>7</v>
      </c>
      <c r="G133" s="3">
        <f t="shared" ca="1" si="24"/>
        <v>15657</v>
      </c>
      <c r="H133" s="4">
        <f t="shared" ca="1" si="19"/>
        <v>109599</v>
      </c>
      <c r="I133" s="6" t="s">
        <v>33</v>
      </c>
    </row>
    <row r="134" spans="1:9">
      <c r="A134" s="2">
        <v>45424</v>
      </c>
      <c r="B134" t="str">
        <f t="shared" si="15"/>
        <v>ORD133</v>
      </c>
      <c r="C134" t="s">
        <v>3</v>
      </c>
      <c r="D134" t="s">
        <v>35</v>
      </c>
      <c r="E134" t="s">
        <v>14</v>
      </c>
      <c r="F134" s="5">
        <v>8</v>
      </c>
      <c r="G134" s="3">
        <f t="shared" ca="1" si="24"/>
        <v>3898</v>
      </c>
      <c r="H134" s="4">
        <f t="shared" ca="1" si="19"/>
        <v>31184</v>
      </c>
      <c r="I134" s="6" t="s">
        <v>36</v>
      </c>
    </row>
    <row r="135" spans="1:9">
      <c r="A135" s="2">
        <v>45425</v>
      </c>
      <c r="B135" t="str">
        <f t="shared" si="15"/>
        <v>ORD134</v>
      </c>
      <c r="C135" t="s">
        <v>7</v>
      </c>
      <c r="D135" t="s">
        <v>35</v>
      </c>
      <c r="E135" t="s">
        <v>11</v>
      </c>
      <c r="F135" s="5">
        <v>9</v>
      </c>
      <c r="G135" s="3">
        <f t="shared" ca="1" si="24"/>
        <v>3053</v>
      </c>
      <c r="H135" s="4">
        <f t="shared" ca="1" si="19"/>
        <v>27477</v>
      </c>
      <c r="I135" s="6" t="s">
        <v>31</v>
      </c>
    </row>
    <row r="136" spans="1:9">
      <c r="A136" s="2">
        <v>45426</v>
      </c>
      <c r="B136" t="str">
        <f t="shared" ref="B136:B199" si="25">"ORD"&amp;TEXT(ROW()-1,"000")</f>
        <v>ORD135</v>
      </c>
      <c r="C136" t="s">
        <v>4</v>
      </c>
      <c r="D136" t="s">
        <v>39</v>
      </c>
      <c r="E136" t="s">
        <v>13</v>
      </c>
      <c r="F136" s="5">
        <v>10</v>
      </c>
      <c r="G136" s="3">
        <f t="shared" ca="1" si="24"/>
        <v>1497</v>
      </c>
      <c r="H136" s="4">
        <f t="shared" ref="H136:H138" ca="1" si="26">F136*G136</f>
        <v>14970</v>
      </c>
      <c r="I136" s="6" t="s">
        <v>33</v>
      </c>
    </row>
    <row r="137" spans="1:9">
      <c r="A137" s="2">
        <v>45427</v>
      </c>
      <c r="B137" t="str">
        <f t="shared" si="25"/>
        <v>ORD136</v>
      </c>
      <c r="C137" t="s">
        <v>5</v>
      </c>
      <c r="D137" t="s">
        <v>30</v>
      </c>
      <c r="E137" t="s">
        <v>12</v>
      </c>
      <c r="F137" s="5">
        <v>1</v>
      </c>
      <c r="G137" s="3">
        <f t="shared" ca="1" si="24"/>
        <v>56286</v>
      </c>
      <c r="H137" s="4">
        <f t="shared" ca="1" si="26"/>
        <v>56286</v>
      </c>
      <c r="I137" s="6" t="s">
        <v>31</v>
      </c>
    </row>
    <row r="138" spans="1:9">
      <c r="A138" s="2">
        <v>45428</v>
      </c>
      <c r="B138" t="str">
        <f t="shared" si="25"/>
        <v>ORD137</v>
      </c>
      <c r="C138" t="s">
        <v>6</v>
      </c>
      <c r="D138" t="s">
        <v>30</v>
      </c>
      <c r="E138" t="s">
        <v>13</v>
      </c>
      <c r="F138" s="5">
        <v>2</v>
      </c>
      <c r="G138" s="3">
        <f t="shared" ca="1" si="24"/>
        <v>28943</v>
      </c>
      <c r="H138" s="4">
        <f t="shared" ca="1" si="26"/>
        <v>57886</v>
      </c>
      <c r="I138" s="6" t="s">
        <v>33</v>
      </c>
    </row>
    <row r="139" spans="1:9">
      <c r="A139" s="2">
        <v>45429</v>
      </c>
      <c r="B139" t="str">
        <f t="shared" si="25"/>
        <v>ORD138</v>
      </c>
      <c r="C139" t="s">
        <v>3</v>
      </c>
      <c r="D139" t="s">
        <v>35</v>
      </c>
      <c r="E139" t="s">
        <v>11</v>
      </c>
      <c r="F139" s="5">
        <v>3</v>
      </c>
      <c r="G139" s="3">
        <f t="shared" ca="1" si="24"/>
        <v>4572</v>
      </c>
      <c r="H139" s="4">
        <f t="shared" ca="1" si="17"/>
        <v>13716</v>
      </c>
      <c r="I139" s="6" t="s">
        <v>36</v>
      </c>
    </row>
    <row r="140" spans="1:9">
      <c r="A140" s="2">
        <v>45430</v>
      </c>
      <c r="B140" t="str">
        <f t="shared" si="25"/>
        <v>ORD139</v>
      </c>
      <c r="C140" t="s">
        <v>7</v>
      </c>
      <c r="D140" t="s">
        <v>35</v>
      </c>
      <c r="E140" t="s">
        <v>14</v>
      </c>
      <c r="F140" s="5">
        <v>4</v>
      </c>
      <c r="G140" s="3">
        <f t="shared" ca="1" si="24"/>
        <v>11277</v>
      </c>
      <c r="H140" s="4">
        <f t="shared" ca="1" si="17"/>
        <v>45108</v>
      </c>
      <c r="I140" s="6" t="s">
        <v>31</v>
      </c>
    </row>
    <row r="141" spans="1:9">
      <c r="A141" s="2">
        <v>45431</v>
      </c>
      <c r="B141" t="str">
        <f t="shared" si="25"/>
        <v>ORD140</v>
      </c>
      <c r="C141" t="s">
        <v>4</v>
      </c>
      <c r="D141" t="s">
        <v>39</v>
      </c>
      <c r="E141" t="s">
        <v>12</v>
      </c>
      <c r="F141" s="5">
        <v>5</v>
      </c>
      <c r="G141" s="3">
        <f t="shared" ca="1" si="24"/>
        <v>1664</v>
      </c>
      <c r="H141" s="4">
        <f t="shared" ca="1" si="18"/>
        <v>8320</v>
      </c>
      <c r="I141" s="6" t="s">
        <v>33</v>
      </c>
    </row>
    <row r="142" spans="1:9">
      <c r="A142" s="2">
        <v>45432</v>
      </c>
      <c r="B142" t="str">
        <f t="shared" si="25"/>
        <v>ORD141</v>
      </c>
      <c r="C142" t="s">
        <v>5</v>
      </c>
      <c r="D142" t="s">
        <v>30</v>
      </c>
      <c r="E142" t="s">
        <v>13</v>
      </c>
      <c r="F142" s="5">
        <v>6</v>
      </c>
      <c r="G142" s="3">
        <f t="shared" ca="1" si="24"/>
        <v>54399</v>
      </c>
      <c r="H142" s="4">
        <f t="shared" ca="1" si="18"/>
        <v>326394</v>
      </c>
      <c r="I142" s="6" t="s">
        <v>31</v>
      </c>
    </row>
    <row r="143" spans="1:9">
      <c r="A143" s="2">
        <v>45433</v>
      </c>
      <c r="B143" t="str">
        <f t="shared" si="25"/>
        <v>ORD142</v>
      </c>
      <c r="C143" t="s">
        <v>6</v>
      </c>
      <c r="D143" t="s">
        <v>30</v>
      </c>
      <c r="E143" t="s">
        <v>12</v>
      </c>
      <c r="F143" s="5">
        <v>7</v>
      </c>
      <c r="G143" s="3">
        <f t="shared" ca="1" si="24"/>
        <v>25376</v>
      </c>
      <c r="H143" s="4">
        <f t="shared" ca="1" si="18"/>
        <v>177632</v>
      </c>
      <c r="I143" s="6" t="s">
        <v>33</v>
      </c>
    </row>
    <row r="144" spans="1:9">
      <c r="A144" s="2">
        <v>45434</v>
      </c>
      <c r="B144" t="str">
        <f t="shared" si="25"/>
        <v>ORD143</v>
      </c>
      <c r="C144" t="s">
        <v>3</v>
      </c>
      <c r="D144" t="s">
        <v>35</v>
      </c>
      <c r="E144" t="s">
        <v>14</v>
      </c>
      <c r="F144" s="5">
        <v>8</v>
      </c>
      <c r="G144" s="3">
        <f t="shared" ca="1" si="24"/>
        <v>8611</v>
      </c>
      <c r="H144" s="4">
        <f t="shared" ca="1" si="19"/>
        <v>68888</v>
      </c>
      <c r="I144" s="6" t="s">
        <v>36</v>
      </c>
    </row>
    <row r="145" spans="1:9">
      <c r="A145" s="2">
        <v>45435</v>
      </c>
      <c r="B145" t="str">
        <f t="shared" si="25"/>
        <v>ORD144</v>
      </c>
      <c r="C145" t="s">
        <v>7</v>
      </c>
      <c r="D145" t="s">
        <v>35</v>
      </c>
      <c r="E145" t="s">
        <v>11</v>
      </c>
      <c r="F145" s="5">
        <v>5</v>
      </c>
      <c r="G145" s="3">
        <f t="shared" ca="1" si="24"/>
        <v>10562</v>
      </c>
      <c r="H145" s="4">
        <f t="shared" ca="1" si="19"/>
        <v>52810</v>
      </c>
      <c r="I145" s="6" t="s">
        <v>31</v>
      </c>
    </row>
    <row r="146" spans="1:9">
      <c r="A146" s="2">
        <v>45436</v>
      </c>
      <c r="B146" t="str">
        <f t="shared" si="25"/>
        <v>ORD145</v>
      </c>
      <c r="C146" t="s">
        <v>4</v>
      </c>
      <c r="D146" t="s">
        <v>39</v>
      </c>
      <c r="E146" t="s">
        <v>13</v>
      </c>
      <c r="F146" s="5">
        <v>6</v>
      </c>
      <c r="G146" s="3">
        <f t="shared" ca="1" si="24"/>
        <v>1331</v>
      </c>
      <c r="H146" s="4">
        <f t="shared" ca="1" si="19"/>
        <v>7986</v>
      </c>
      <c r="I146" s="6" t="s">
        <v>33</v>
      </c>
    </row>
    <row r="147" spans="1:9">
      <c r="A147" s="2">
        <v>45437</v>
      </c>
      <c r="B147" t="str">
        <f t="shared" si="25"/>
        <v>ORD146</v>
      </c>
      <c r="C147" t="s">
        <v>5</v>
      </c>
      <c r="D147" t="s">
        <v>30</v>
      </c>
      <c r="E147" t="s">
        <v>12</v>
      </c>
      <c r="F147" s="5">
        <v>7</v>
      </c>
      <c r="G147" s="3">
        <f t="shared" ca="1" si="24"/>
        <v>50962</v>
      </c>
      <c r="H147" s="4">
        <f t="shared" ref="H147:H149" ca="1" si="27">F147*G147</f>
        <v>356734</v>
      </c>
      <c r="I147" s="6" t="s">
        <v>31</v>
      </c>
    </row>
    <row r="148" spans="1:9">
      <c r="A148" s="2">
        <v>45438</v>
      </c>
      <c r="B148" t="str">
        <f t="shared" si="25"/>
        <v>ORD147</v>
      </c>
      <c r="C148" t="s">
        <v>6</v>
      </c>
      <c r="D148" t="s">
        <v>30</v>
      </c>
      <c r="E148" t="s">
        <v>13</v>
      </c>
      <c r="F148" s="5">
        <v>8</v>
      </c>
      <c r="G148" s="3">
        <f t="shared" ca="1" si="24"/>
        <v>29736</v>
      </c>
      <c r="H148" s="4">
        <f t="shared" ca="1" si="27"/>
        <v>237888</v>
      </c>
      <c r="I148" s="6" t="s">
        <v>33</v>
      </c>
    </row>
    <row r="149" spans="1:9">
      <c r="A149" s="2">
        <v>45439</v>
      </c>
      <c r="B149" t="str">
        <f t="shared" si="25"/>
        <v>ORD148</v>
      </c>
      <c r="C149" t="s">
        <v>3</v>
      </c>
      <c r="D149" t="s">
        <v>35</v>
      </c>
      <c r="E149" t="s">
        <v>11</v>
      </c>
      <c r="F149" s="5">
        <v>9</v>
      </c>
      <c r="G149" s="3">
        <f t="shared" ca="1" si="24"/>
        <v>5130</v>
      </c>
      <c r="H149" s="4">
        <f t="shared" ca="1" si="27"/>
        <v>46170</v>
      </c>
      <c r="I149" s="6" t="s">
        <v>36</v>
      </c>
    </row>
    <row r="150" spans="1:9">
      <c r="A150" s="2">
        <v>45440</v>
      </c>
      <c r="B150" t="str">
        <f t="shared" si="25"/>
        <v>ORD149</v>
      </c>
      <c r="C150" t="s">
        <v>7</v>
      </c>
      <c r="D150" t="s">
        <v>35</v>
      </c>
      <c r="E150" t="s">
        <v>14</v>
      </c>
      <c r="F150" s="5">
        <v>10</v>
      </c>
      <c r="G150" s="3">
        <f t="shared" ca="1" si="24"/>
        <v>8594</v>
      </c>
      <c r="H150" s="4">
        <f t="shared" ref="H150:H206" ca="1" si="28">+F150*G150</f>
        <v>85940</v>
      </c>
      <c r="I150" s="6" t="s">
        <v>31</v>
      </c>
    </row>
    <row r="151" spans="1:9">
      <c r="A151" s="2">
        <v>45441</v>
      </c>
      <c r="B151" t="str">
        <f t="shared" si="25"/>
        <v>ORD150</v>
      </c>
      <c r="C151" t="s">
        <v>4</v>
      </c>
      <c r="D151" t="s">
        <v>39</v>
      </c>
      <c r="E151" t="s">
        <v>12</v>
      </c>
      <c r="F151" s="5">
        <v>1</v>
      </c>
      <c r="G151" s="3">
        <f t="shared" ca="1" si="24"/>
        <v>2211</v>
      </c>
      <c r="H151" s="4">
        <f t="shared" ca="1" si="28"/>
        <v>2211</v>
      </c>
      <c r="I151" s="6" t="s">
        <v>33</v>
      </c>
    </row>
    <row r="152" spans="1:9">
      <c r="A152" s="2">
        <v>45442</v>
      </c>
      <c r="B152" t="str">
        <f t="shared" si="25"/>
        <v>ORD151</v>
      </c>
      <c r="C152" t="s">
        <v>5</v>
      </c>
      <c r="D152" t="s">
        <v>30</v>
      </c>
      <c r="E152" t="s">
        <v>13</v>
      </c>
      <c r="F152" s="5">
        <v>2</v>
      </c>
      <c r="G152" s="3">
        <f t="shared" ca="1" si="24"/>
        <v>53065</v>
      </c>
      <c r="H152" s="4">
        <f t="shared" ref="H152:H209" ca="1" si="29">F152*G152</f>
        <v>106130</v>
      </c>
      <c r="I152" s="6" t="s">
        <v>31</v>
      </c>
    </row>
    <row r="153" spans="1:9">
      <c r="A153" s="2">
        <v>45443</v>
      </c>
      <c r="B153" t="str">
        <f t="shared" si="25"/>
        <v>ORD152</v>
      </c>
      <c r="C153" t="s">
        <v>6</v>
      </c>
      <c r="D153" t="s">
        <v>30</v>
      </c>
      <c r="E153" t="s">
        <v>12</v>
      </c>
      <c r="F153" s="5">
        <v>3</v>
      </c>
      <c r="G153" s="3">
        <f t="shared" ca="1" si="24"/>
        <v>26466</v>
      </c>
      <c r="H153" s="4">
        <f t="shared" ca="1" si="29"/>
        <v>79398</v>
      </c>
      <c r="I153" s="6" t="s">
        <v>33</v>
      </c>
    </row>
    <row r="154" spans="1:9">
      <c r="A154" s="2">
        <v>45444</v>
      </c>
      <c r="B154" t="str">
        <f t="shared" si="25"/>
        <v>ORD153</v>
      </c>
      <c r="C154" t="s">
        <v>3</v>
      </c>
      <c r="D154" t="s">
        <v>35</v>
      </c>
      <c r="E154" t="s">
        <v>14</v>
      </c>
      <c r="F154" s="5">
        <v>4</v>
      </c>
      <c r="G154" s="3">
        <f t="shared" ca="1" si="24"/>
        <v>10390</v>
      </c>
      <c r="H154" s="4">
        <f t="shared" ca="1" si="29"/>
        <v>41560</v>
      </c>
      <c r="I154" s="6" t="s">
        <v>36</v>
      </c>
    </row>
    <row r="155" spans="1:9">
      <c r="A155" s="2">
        <v>45445</v>
      </c>
      <c r="B155" t="str">
        <f t="shared" si="25"/>
        <v>ORD154</v>
      </c>
      <c r="C155" t="s">
        <v>7</v>
      </c>
      <c r="D155" t="s">
        <v>35</v>
      </c>
      <c r="E155" t="s">
        <v>11</v>
      </c>
      <c r="F155" s="5">
        <v>5</v>
      </c>
      <c r="G155" s="3">
        <f t="shared" ca="1" si="24"/>
        <v>10863</v>
      </c>
      <c r="H155" s="4">
        <f t="shared" ref="H155:H212" ca="1" si="30">+F155*G155</f>
        <v>54315</v>
      </c>
      <c r="I155" s="6" t="s">
        <v>31</v>
      </c>
    </row>
    <row r="156" spans="1:9">
      <c r="A156" s="2">
        <v>45446</v>
      </c>
      <c r="B156" t="str">
        <f t="shared" si="25"/>
        <v>ORD155</v>
      </c>
      <c r="C156" t="s">
        <v>4</v>
      </c>
      <c r="D156" t="s">
        <v>39</v>
      </c>
      <c r="E156" t="s">
        <v>13</v>
      </c>
      <c r="F156" s="5">
        <v>6</v>
      </c>
      <c r="G156" s="3">
        <f t="shared" ca="1" si="24"/>
        <v>1422</v>
      </c>
      <c r="H156" s="4">
        <f t="shared" ca="1" si="30"/>
        <v>8532</v>
      </c>
      <c r="I156" s="6" t="s">
        <v>33</v>
      </c>
    </row>
    <row r="157" spans="1:9">
      <c r="A157" s="2">
        <v>45447</v>
      </c>
      <c r="B157" t="str">
        <f t="shared" si="25"/>
        <v>ORD156</v>
      </c>
      <c r="C157" t="s">
        <v>5</v>
      </c>
      <c r="D157" t="s">
        <v>30</v>
      </c>
      <c r="E157" t="s">
        <v>12</v>
      </c>
      <c r="F157" s="5">
        <v>7</v>
      </c>
      <c r="G157" s="3">
        <f t="shared" ca="1" si="24"/>
        <v>54702</v>
      </c>
      <c r="H157" s="4">
        <f t="shared" ca="1" si="30"/>
        <v>382914</v>
      </c>
      <c r="I157" s="6" t="s">
        <v>31</v>
      </c>
    </row>
    <row r="158" spans="1:9">
      <c r="A158" s="2">
        <v>45448</v>
      </c>
      <c r="B158" t="str">
        <f t="shared" si="25"/>
        <v>ORD157</v>
      </c>
      <c r="C158" t="s">
        <v>6</v>
      </c>
      <c r="D158" t="s">
        <v>30</v>
      </c>
      <c r="E158" t="s">
        <v>13</v>
      </c>
      <c r="F158" s="5">
        <v>8</v>
      </c>
      <c r="G158" s="3">
        <f t="shared" ca="1" si="24"/>
        <v>27263</v>
      </c>
      <c r="H158" s="4">
        <f t="shared" ref="H158:H160" ca="1" si="31">F158*G158</f>
        <v>218104</v>
      </c>
      <c r="I158" s="6" t="s">
        <v>33</v>
      </c>
    </row>
    <row r="159" spans="1:9">
      <c r="A159" s="2">
        <v>45449</v>
      </c>
      <c r="B159" t="str">
        <f t="shared" si="25"/>
        <v>ORD158</v>
      </c>
      <c r="C159" t="s">
        <v>3</v>
      </c>
      <c r="D159" t="s">
        <v>35</v>
      </c>
      <c r="E159" t="s">
        <v>11</v>
      </c>
      <c r="F159" s="5">
        <v>9</v>
      </c>
      <c r="G159" s="3">
        <f t="shared" ca="1" si="24"/>
        <v>6289</v>
      </c>
      <c r="H159" s="4">
        <f t="shared" ca="1" si="31"/>
        <v>56601</v>
      </c>
      <c r="I159" s="6" t="s">
        <v>36</v>
      </c>
    </row>
    <row r="160" spans="1:9">
      <c r="A160" s="2">
        <v>45450</v>
      </c>
      <c r="B160" t="str">
        <f t="shared" si="25"/>
        <v>ORD159</v>
      </c>
      <c r="C160" t="s">
        <v>7</v>
      </c>
      <c r="D160" t="s">
        <v>35</v>
      </c>
      <c r="E160" t="s">
        <v>14</v>
      </c>
      <c r="F160" s="5">
        <v>10</v>
      </c>
      <c r="G160" s="3">
        <f t="shared" ca="1" si="24"/>
        <v>6020</v>
      </c>
      <c r="H160" s="4">
        <f t="shared" ca="1" si="31"/>
        <v>60200</v>
      </c>
      <c r="I160" s="6" t="s">
        <v>31</v>
      </c>
    </row>
    <row r="161" spans="1:9">
      <c r="A161" s="2">
        <v>45451</v>
      </c>
      <c r="B161" t="str">
        <f t="shared" si="25"/>
        <v>ORD160</v>
      </c>
      <c r="C161" t="s">
        <v>4</v>
      </c>
      <c r="D161" t="s">
        <v>39</v>
      </c>
      <c r="E161" t="s">
        <v>12</v>
      </c>
      <c r="F161" s="5">
        <v>1</v>
      </c>
      <c r="G161" s="3">
        <f t="shared" ca="1" si="24"/>
        <v>2947</v>
      </c>
      <c r="H161" s="4">
        <f t="shared" ca="1" si="28"/>
        <v>2947</v>
      </c>
      <c r="I161" s="6" t="s">
        <v>33</v>
      </c>
    </row>
    <row r="162" spans="1:9">
      <c r="A162" s="2">
        <v>45452</v>
      </c>
      <c r="B162" t="str">
        <f t="shared" si="25"/>
        <v>ORD161</v>
      </c>
      <c r="C162" t="s">
        <v>5</v>
      </c>
      <c r="D162" t="s">
        <v>30</v>
      </c>
      <c r="E162" t="s">
        <v>13</v>
      </c>
      <c r="F162" s="5">
        <v>2</v>
      </c>
      <c r="G162" s="3">
        <f t="shared" ca="1" si="24"/>
        <v>41541</v>
      </c>
      <c r="H162" s="4">
        <f t="shared" ca="1" si="28"/>
        <v>83082</v>
      </c>
      <c r="I162" s="6" t="s">
        <v>31</v>
      </c>
    </row>
    <row r="163" spans="1:9">
      <c r="A163" s="2">
        <v>45453</v>
      </c>
      <c r="B163" t="str">
        <f t="shared" si="25"/>
        <v>ORD162</v>
      </c>
      <c r="C163" t="s">
        <v>6</v>
      </c>
      <c r="D163" t="s">
        <v>30</v>
      </c>
      <c r="E163" t="s">
        <v>12</v>
      </c>
      <c r="F163" s="5">
        <v>3</v>
      </c>
      <c r="G163" s="3">
        <f t="shared" ca="1" si="24"/>
        <v>15645</v>
      </c>
      <c r="H163" s="4">
        <f t="shared" ca="1" si="29"/>
        <v>46935</v>
      </c>
      <c r="I163" s="6" t="s">
        <v>33</v>
      </c>
    </row>
    <row r="164" spans="1:9">
      <c r="A164" s="2">
        <v>45454</v>
      </c>
      <c r="B164" t="str">
        <f t="shared" si="25"/>
        <v>ORD163</v>
      </c>
      <c r="C164" t="s">
        <v>3</v>
      </c>
      <c r="D164" t="s">
        <v>35</v>
      </c>
      <c r="E164" t="s">
        <v>14</v>
      </c>
      <c r="F164" s="5">
        <v>4</v>
      </c>
      <c r="G164" s="3">
        <f t="shared" ca="1" si="24"/>
        <v>10544</v>
      </c>
      <c r="H164" s="4">
        <f t="shared" ca="1" si="29"/>
        <v>42176</v>
      </c>
      <c r="I164" s="6" t="s">
        <v>36</v>
      </c>
    </row>
    <row r="165" spans="1:9">
      <c r="A165" s="2">
        <v>45455</v>
      </c>
      <c r="B165" t="str">
        <f t="shared" si="25"/>
        <v>ORD164</v>
      </c>
      <c r="C165" t="s">
        <v>7</v>
      </c>
      <c r="D165" t="s">
        <v>35</v>
      </c>
      <c r="E165" t="s">
        <v>11</v>
      </c>
      <c r="F165" s="5">
        <v>5</v>
      </c>
      <c r="G165" s="3">
        <f t="shared" ca="1" si="24"/>
        <v>9878</v>
      </c>
      <c r="H165" s="4">
        <f t="shared" ca="1" si="29"/>
        <v>49390</v>
      </c>
      <c r="I165" s="6" t="s">
        <v>31</v>
      </c>
    </row>
    <row r="166" spans="1:9">
      <c r="A166" s="2">
        <v>45456</v>
      </c>
      <c r="B166" t="str">
        <f t="shared" si="25"/>
        <v>ORD165</v>
      </c>
      <c r="C166" t="s">
        <v>4</v>
      </c>
      <c r="D166" t="s">
        <v>39</v>
      </c>
      <c r="E166" t="s">
        <v>13</v>
      </c>
      <c r="F166" s="5">
        <v>6</v>
      </c>
      <c r="G166" s="3">
        <f t="shared" ca="1" si="24"/>
        <v>1843</v>
      </c>
      <c r="H166" s="4">
        <f t="shared" ca="1" si="30"/>
        <v>11058</v>
      </c>
      <c r="I166" s="6" t="s">
        <v>33</v>
      </c>
    </row>
    <row r="167" spans="1:9">
      <c r="A167" s="2">
        <v>45457</v>
      </c>
      <c r="B167" t="str">
        <f t="shared" si="25"/>
        <v>ORD166</v>
      </c>
      <c r="C167" t="s">
        <v>5</v>
      </c>
      <c r="D167" t="s">
        <v>30</v>
      </c>
      <c r="E167" t="s">
        <v>12</v>
      </c>
      <c r="F167" s="5">
        <v>7</v>
      </c>
      <c r="G167" s="3">
        <f t="shared" ca="1" si="24"/>
        <v>45625</v>
      </c>
      <c r="H167" s="4">
        <f t="shared" ca="1" si="30"/>
        <v>319375</v>
      </c>
      <c r="I167" s="6" t="s">
        <v>31</v>
      </c>
    </row>
    <row r="168" spans="1:9">
      <c r="A168" s="2">
        <v>45458</v>
      </c>
      <c r="B168" t="str">
        <f t="shared" si="25"/>
        <v>ORD167</v>
      </c>
      <c r="C168" t="s">
        <v>6</v>
      </c>
      <c r="D168" t="s">
        <v>30</v>
      </c>
      <c r="E168" t="s">
        <v>13</v>
      </c>
      <c r="F168" s="5">
        <v>8</v>
      </c>
      <c r="G168" s="3">
        <f t="shared" ca="1" si="24"/>
        <v>17530</v>
      </c>
      <c r="H168" s="4">
        <f t="shared" ca="1" si="30"/>
        <v>140240</v>
      </c>
      <c r="I168" s="6" t="s">
        <v>33</v>
      </c>
    </row>
    <row r="169" spans="1:9">
      <c r="A169" s="2">
        <v>45459</v>
      </c>
      <c r="B169" t="str">
        <f t="shared" si="25"/>
        <v>ORD168</v>
      </c>
      <c r="C169" t="s">
        <v>3</v>
      </c>
      <c r="D169" t="s">
        <v>35</v>
      </c>
      <c r="E169" t="s">
        <v>11</v>
      </c>
      <c r="F169" s="5">
        <v>9</v>
      </c>
      <c r="G169" s="3">
        <f t="shared" ca="1" si="24"/>
        <v>3211</v>
      </c>
      <c r="H169" s="4">
        <f t="shared" ref="H169:H171" ca="1" si="32">F169*G169</f>
        <v>28899</v>
      </c>
      <c r="I169" s="6" t="s">
        <v>36</v>
      </c>
    </row>
    <row r="170" spans="1:9">
      <c r="A170" s="2">
        <v>45460</v>
      </c>
      <c r="B170" t="str">
        <f t="shared" si="25"/>
        <v>ORD169</v>
      </c>
      <c r="C170" t="s">
        <v>7</v>
      </c>
      <c r="D170" t="s">
        <v>35</v>
      </c>
      <c r="E170" t="s">
        <v>14</v>
      </c>
      <c r="F170" s="5">
        <v>10</v>
      </c>
      <c r="G170" s="3">
        <f t="shared" ca="1" si="24"/>
        <v>3844</v>
      </c>
      <c r="H170" s="4">
        <f t="shared" ca="1" si="32"/>
        <v>38440</v>
      </c>
      <c r="I170" s="6" t="s">
        <v>31</v>
      </c>
    </row>
    <row r="171" spans="1:9">
      <c r="A171" s="2">
        <v>45461</v>
      </c>
      <c r="B171" t="str">
        <f t="shared" si="25"/>
        <v>ORD170</v>
      </c>
      <c r="C171" t="s">
        <v>4</v>
      </c>
      <c r="D171" t="s">
        <v>39</v>
      </c>
      <c r="E171" t="s">
        <v>12</v>
      </c>
      <c r="F171" s="5">
        <v>11</v>
      </c>
      <c r="G171" s="3">
        <f t="shared" ca="1" si="24"/>
        <v>2232</v>
      </c>
      <c r="H171" s="4">
        <f t="shared" ca="1" si="32"/>
        <v>24552</v>
      </c>
      <c r="I171" s="6" t="s">
        <v>33</v>
      </c>
    </row>
    <row r="172" spans="1:9">
      <c r="A172" s="2">
        <v>45462</v>
      </c>
      <c r="B172" t="str">
        <f t="shared" si="25"/>
        <v>ORD171</v>
      </c>
      <c r="C172" t="s">
        <v>5</v>
      </c>
      <c r="D172" t="s">
        <v>30</v>
      </c>
      <c r="E172" t="s">
        <v>13</v>
      </c>
      <c r="F172" s="5">
        <v>4</v>
      </c>
      <c r="G172" s="3">
        <f t="shared" ca="1" si="24"/>
        <v>42724</v>
      </c>
      <c r="H172" s="4">
        <f t="shared" ca="1" si="28"/>
        <v>170896</v>
      </c>
      <c r="I172" s="6" t="s">
        <v>31</v>
      </c>
    </row>
    <row r="173" spans="1:9">
      <c r="A173" s="2">
        <v>45463</v>
      </c>
      <c r="B173" t="str">
        <f t="shared" si="25"/>
        <v>ORD172</v>
      </c>
      <c r="C173" t="s">
        <v>6</v>
      </c>
      <c r="D173" t="s">
        <v>30</v>
      </c>
      <c r="E173" t="s">
        <v>12</v>
      </c>
      <c r="F173" s="5">
        <v>5</v>
      </c>
      <c r="G173" s="3">
        <f t="shared" ca="1" si="24"/>
        <v>17923</v>
      </c>
      <c r="H173" s="4">
        <f t="shared" ca="1" si="28"/>
        <v>89615</v>
      </c>
      <c r="I173" s="6" t="s">
        <v>33</v>
      </c>
    </row>
    <row r="174" spans="1:9">
      <c r="A174" s="2">
        <v>45464</v>
      </c>
      <c r="B174" t="str">
        <f t="shared" si="25"/>
        <v>ORD173</v>
      </c>
      <c r="C174" t="s">
        <v>3</v>
      </c>
      <c r="D174" t="s">
        <v>35</v>
      </c>
      <c r="E174" t="s">
        <v>14</v>
      </c>
      <c r="F174" s="5">
        <v>6</v>
      </c>
      <c r="G174" s="3">
        <f t="shared" ca="1" si="24"/>
        <v>9287</v>
      </c>
      <c r="H174" s="4">
        <f t="shared" ca="1" si="29"/>
        <v>55722</v>
      </c>
      <c r="I174" s="6" t="s">
        <v>36</v>
      </c>
    </row>
    <row r="175" spans="1:9">
      <c r="A175" s="2">
        <v>45465</v>
      </c>
      <c r="B175" t="str">
        <f t="shared" si="25"/>
        <v>ORD174</v>
      </c>
      <c r="C175" t="s">
        <v>7</v>
      </c>
      <c r="D175" t="s">
        <v>35</v>
      </c>
      <c r="E175" t="s">
        <v>11</v>
      </c>
      <c r="F175" s="5">
        <v>7</v>
      </c>
      <c r="G175" s="3">
        <f t="shared" ca="1" si="24"/>
        <v>5731</v>
      </c>
      <c r="H175" s="4">
        <f t="shared" ca="1" si="29"/>
        <v>40117</v>
      </c>
      <c r="I175" s="6" t="s">
        <v>31</v>
      </c>
    </row>
    <row r="176" spans="1:9">
      <c r="A176" s="2">
        <v>45466</v>
      </c>
      <c r="B176" t="str">
        <f t="shared" si="25"/>
        <v>ORD175</v>
      </c>
      <c r="C176" t="s">
        <v>4</v>
      </c>
      <c r="D176" t="s">
        <v>39</v>
      </c>
      <c r="E176" t="s">
        <v>13</v>
      </c>
      <c r="F176" s="5">
        <v>8</v>
      </c>
      <c r="G176" s="3">
        <f t="shared" ca="1" si="24"/>
        <v>1133</v>
      </c>
      <c r="H176" s="4">
        <f t="shared" ca="1" si="29"/>
        <v>9064</v>
      </c>
      <c r="I176" s="6" t="s">
        <v>33</v>
      </c>
    </row>
    <row r="177" spans="1:9">
      <c r="A177" s="2">
        <v>45467</v>
      </c>
      <c r="B177" t="str">
        <f t="shared" si="25"/>
        <v>ORD176</v>
      </c>
      <c r="C177" t="s">
        <v>5</v>
      </c>
      <c r="D177" t="s">
        <v>30</v>
      </c>
      <c r="E177" t="s">
        <v>12</v>
      </c>
      <c r="F177" s="5">
        <v>9</v>
      </c>
      <c r="G177" s="3">
        <f t="shared" ca="1" si="24"/>
        <v>47525</v>
      </c>
      <c r="H177" s="4">
        <f t="shared" ca="1" si="30"/>
        <v>427725</v>
      </c>
      <c r="I177" s="6" t="s">
        <v>31</v>
      </c>
    </row>
    <row r="178" spans="1:9">
      <c r="A178" s="2">
        <v>45468</v>
      </c>
      <c r="B178" t="str">
        <f t="shared" si="25"/>
        <v>ORD177</v>
      </c>
      <c r="C178" t="s">
        <v>6</v>
      </c>
      <c r="D178" t="s">
        <v>30</v>
      </c>
      <c r="E178" t="s">
        <v>13</v>
      </c>
      <c r="F178" s="5">
        <v>10</v>
      </c>
      <c r="G178" s="3">
        <f t="shared" ca="1" si="24"/>
        <v>28868</v>
      </c>
      <c r="H178" s="4">
        <f t="shared" ca="1" si="30"/>
        <v>288680</v>
      </c>
      <c r="I178" s="6" t="s">
        <v>33</v>
      </c>
    </row>
    <row r="179" spans="1:9">
      <c r="A179" s="2">
        <v>45469</v>
      </c>
      <c r="B179" t="str">
        <f t="shared" si="25"/>
        <v>ORD178</v>
      </c>
      <c r="C179" t="s">
        <v>3</v>
      </c>
      <c r="D179" t="s">
        <v>35</v>
      </c>
      <c r="E179" t="s">
        <v>11</v>
      </c>
      <c r="F179" s="5">
        <v>1</v>
      </c>
      <c r="G179" s="3">
        <f t="shared" ca="1" si="24"/>
        <v>7838</v>
      </c>
      <c r="H179" s="4">
        <f t="shared" ca="1" si="30"/>
        <v>7838</v>
      </c>
      <c r="I179" s="6" t="s">
        <v>36</v>
      </c>
    </row>
    <row r="180" spans="1:9">
      <c r="A180" s="2">
        <v>45470</v>
      </c>
      <c r="B180" t="str">
        <f t="shared" si="25"/>
        <v>ORD179</v>
      </c>
      <c r="C180" t="s">
        <v>7</v>
      </c>
      <c r="D180" t="s">
        <v>35</v>
      </c>
      <c r="E180" t="s">
        <v>14</v>
      </c>
      <c r="F180" s="5">
        <v>2</v>
      </c>
      <c r="G180" s="3">
        <f t="shared" ca="1" si="24"/>
        <v>8162</v>
      </c>
      <c r="H180" s="4">
        <f t="shared" ref="H180:H182" ca="1" si="33">F180*G180</f>
        <v>16324</v>
      </c>
      <c r="I180" s="6" t="s">
        <v>31</v>
      </c>
    </row>
    <row r="181" spans="1:9">
      <c r="A181" s="2">
        <v>45471</v>
      </c>
      <c r="B181" t="str">
        <f t="shared" si="25"/>
        <v>ORD180</v>
      </c>
      <c r="C181" t="s">
        <v>4</v>
      </c>
      <c r="D181" t="s">
        <v>39</v>
      </c>
      <c r="E181" t="s">
        <v>12</v>
      </c>
      <c r="F181" s="5">
        <v>3</v>
      </c>
      <c r="G181" s="3">
        <f t="shared" ca="1" si="24"/>
        <v>1671</v>
      </c>
      <c r="H181" s="4">
        <f t="shared" ca="1" si="33"/>
        <v>5013</v>
      </c>
      <c r="I181" s="6" t="s">
        <v>33</v>
      </c>
    </row>
    <row r="182" spans="1:9">
      <c r="A182" s="2">
        <v>45472</v>
      </c>
      <c r="B182" t="str">
        <f t="shared" si="25"/>
        <v>ORD181</v>
      </c>
      <c r="C182" t="s">
        <v>5</v>
      </c>
      <c r="D182" t="s">
        <v>30</v>
      </c>
      <c r="E182" t="s">
        <v>13</v>
      </c>
      <c r="F182" s="5">
        <v>4</v>
      </c>
      <c r="G182" s="3">
        <f t="shared" ca="1" si="24"/>
        <v>59004</v>
      </c>
      <c r="H182" s="4">
        <f t="shared" ca="1" si="33"/>
        <v>236016</v>
      </c>
      <c r="I182" s="6" t="s">
        <v>31</v>
      </c>
    </row>
    <row r="183" spans="1:9">
      <c r="A183" s="2">
        <v>45473</v>
      </c>
      <c r="B183" t="str">
        <f t="shared" si="25"/>
        <v>ORD182</v>
      </c>
      <c r="C183" t="s">
        <v>6</v>
      </c>
      <c r="D183" t="s">
        <v>30</v>
      </c>
      <c r="E183" t="s">
        <v>12</v>
      </c>
      <c r="F183" s="5">
        <v>5</v>
      </c>
      <c r="G183" s="3">
        <f t="shared" ca="1" si="24"/>
        <v>20082</v>
      </c>
      <c r="H183" s="4">
        <f t="shared" ca="1" si="28"/>
        <v>100410</v>
      </c>
      <c r="I183" s="6" t="s">
        <v>33</v>
      </c>
    </row>
    <row r="184" spans="1:9">
      <c r="A184" s="2">
        <v>45474</v>
      </c>
      <c r="B184" t="str">
        <f t="shared" si="25"/>
        <v>ORD183</v>
      </c>
      <c r="C184" t="s">
        <v>3</v>
      </c>
      <c r="D184" t="s">
        <v>35</v>
      </c>
      <c r="E184" t="s">
        <v>14</v>
      </c>
      <c r="F184" s="5">
        <v>6</v>
      </c>
      <c r="G184" s="3">
        <f t="shared" ca="1" si="24"/>
        <v>9885</v>
      </c>
      <c r="H184" s="4">
        <f t="shared" ca="1" si="28"/>
        <v>59310</v>
      </c>
      <c r="I184" s="6" t="s">
        <v>36</v>
      </c>
    </row>
    <row r="185" spans="1:9">
      <c r="A185" s="2">
        <v>45475</v>
      </c>
      <c r="B185" t="str">
        <f t="shared" si="25"/>
        <v>ORD184</v>
      </c>
      <c r="C185" t="s">
        <v>7</v>
      </c>
      <c r="D185" t="s">
        <v>35</v>
      </c>
      <c r="E185" t="s">
        <v>11</v>
      </c>
      <c r="F185" s="5">
        <v>7</v>
      </c>
      <c r="G185" s="3">
        <f t="shared" ca="1" si="24"/>
        <v>6738</v>
      </c>
      <c r="H185" s="4">
        <f t="shared" ca="1" si="29"/>
        <v>47166</v>
      </c>
      <c r="I185" s="6" t="s">
        <v>31</v>
      </c>
    </row>
    <row r="186" spans="1:9">
      <c r="A186" s="2">
        <v>45476</v>
      </c>
      <c r="B186" t="str">
        <f t="shared" si="25"/>
        <v>ORD185</v>
      </c>
      <c r="C186" t="s">
        <v>4</v>
      </c>
      <c r="D186" t="s">
        <v>39</v>
      </c>
      <c r="E186" t="s">
        <v>13</v>
      </c>
      <c r="F186" s="5">
        <v>8</v>
      </c>
      <c r="G186" s="3">
        <f t="shared" ca="1" si="24"/>
        <v>1853</v>
      </c>
      <c r="H186" s="4">
        <f t="shared" ca="1" si="29"/>
        <v>14824</v>
      </c>
      <c r="I186" s="6" t="s">
        <v>33</v>
      </c>
    </row>
    <row r="187" spans="1:9">
      <c r="A187" s="2">
        <v>45477</v>
      </c>
      <c r="B187" t="str">
        <f t="shared" si="25"/>
        <v>ORD186</v>
      </c>
      <c r="C187" t="s">
        <v>5</v>
      </c>
      <c r="D187" t="s">
        <v>30</v>
      </c>
      <c r="E187" t="s">
        <v>12</v>
      </c>
      <c r="F187" s="5">
        <v>9</v>
      </c>
      <c r="G187" s="3">
        <f t="shared" ca="1" si="24"/>
        <v>53338</v>
      </c>
      <c r="H187" s="4">
        <f t="shared" ca="1" si="29"/>
        <v>480042</v>
      </c>
      <c r="I187" s="6" t="s">
        <v>31</v>
      </c>
    </row>
    <row r="188" spans="1:9">
      <c r="A188" s="2">
        <v>45478</v>
      </c>
      <c r="B188" t="str">
        <f t="shared" si="25"/>
        <v>ORD187</v>
      </c>
      <c r="C188" t="s">
        <v>6</v>
      </c>
      <c r="D188" t="s">
        <v>30</v>
      </c>
      <c r="E188" t="s">
        <v>13</v>
      </c>
      <c r="F188" s="5">
        <v>10</v>
      </c>
      <c r="G188" s="3">
        <f t="shared" ca="1" si="24"/>
        <v>25428</v>
      </c>
      <c r="H188" s="4">
        <f t="shared" ca="1" si="30"/>
        <v>254280</v>
      </c>
      <c r="I188" s="6" t="s">
        <v>33</v>
      </c>
    </row>
    <row r="189" spans="1:9">
      <c r="A189" s="2">
        <v>45479</v>
      </c>
      <c r="B189" t="str">
        <f t="shared" si="25"/>
        <v>ORD188</v>
      </c>
      <c r="C189" t="s">
        <v>3</v>
      </c>
      <c r="D189" t="s">
        <v>35</v>
      </c>
      <c r="E189" t="s">
        <v>11</v>
      </c>
      <c r="F189" s="5">
        <v>3</v>
      </c>
      <c r="G189" s="3">
        <f t="shared" ca="1" si="24"/>
        <v>6018</v>
      </c>
      <c r="H189" s="4">
        <f t="shared" ca="1" si="30"/>
        <v>18054</v>
      </c>
      <c r="I189" s="6" t="s">
        <v>36</v>
      </c>
    </row>
    <row r="190" spans="1:9">
      <c r="A190" s="2">
        <v>45480</v>
      </c>
      <c r="B190" t="str">
        <f t="shared" si="25"/>
        <v>ORD189</v>
      </c>
      <c r="C190" t="s">
        <v>7</v>
      </c>
      <c r="D190" t="s">
        <v>35</v>
      </c>
      <c r="E190" t="s">
        <v>14</v>
      </c>
      <c r="F190" s="5">
        <v>3</v>
      </c>
      <c r="G190" s="3">
        <f t="shared" ca="1" si="24"/>
        <v>4750</v>
      </c>
      <c r="H190" s="4">
        <f t="shared" ca="1" si="30"/>
        <v>14250</v>
      </c>
      <c r="I190" s="6" t="s">
        <v>31</v>
      </c>
    </row>
    <row r="191" spans="1:9">
      <c r="A191" s="2">
        <v>45481</v>
      </c>
      <c r="B191" t="str">
        <f t="shared" si="25"/>
        <v>ORD190</v>
      </c>
      <c r="C191" t="s">
        <v>4</v>
      </c>
      <c r="D191" t="s">
        <v>39</v>
      </c>
      <c r="E191" t="s">
        <v>12</v>
      </c>
      <c r="F191" s="5">
        <v>4</v>
      </c>
      <c r="G191" s="3">
        <f t="shared" ca="1" si="24"/>
        <v>1831</v>
      </c>
      <c r="H191" s="4">
        <f t="shared" ref="H191:H193" ca="1" si="34">F191*G191</f>
        <v>7324</v>
      </c>
      <c r="I191" s="6" t="s">
        <v>33</v>
      </c>
    </row>
    <row r="192" spans="1:9">
      <c r="A192" s="2">
        <v>45482</v>
      </c>
      <c r="B192" t="str">
        <f t="shared" si="25"/>
        <v>ORD191</v>
      </c>
      <c r="C192" t="s">
        <v>5</v>
      </c>
      <c r="D192" t="s">
        <v>30</v>
      </c>
      <c r="E192" t="s">
        <v>13</v>
      </c>
      <c r="F192" s="5">
        <v>5</v>
      </c>
      <c r="G192" s="3">
        <f t="shared" ca="1" si="24"/>
        <v>50552</v>
      </c>
      <c r="H192" s="4">
        <f t="shared" ca="1" si="34"/>
        <v>252760</v>
      </c>
      <c r="I192" s="6" t="s">
        <v>31</v>
      </c>
    </row>
    <row r="193" spans="1:9">
      <c r="A193" s="2">
        <v>45483</v>
      </c>
      <c r="B193" t="str">
        <f t="shared" si="25"/>
        <v>ORD192</v>
      </c>
      <c r="C193" t="s">
        <v>6</v>
      </c>
      <c r="D193" t="s">
        <v>30</v>
      </c>
      <c r="E193" t="s">
        <v>12</v>
      </c>
      <c r="F193" s="5">
        <v>6</v>
      </c>
      <c r="G193" s="3">
        <f t="shared" ca="1" si="24"/>
        <v>15545</v>
      </c>
      <c r="H193" s="4">
        <f t="shared" ca="1" si="34"/>
        <v>93270</v>
      </c>
      <c r="I193" s="6" t="s">
        <v>33</v>
      </c>
    </row>
    <row r="194" spans="1:9">
      <c r="A194" s="2">
        <v>45484</v>
      </c>
      <c r="B194" t="str">
        <f t="shared" si="25"/>
        <v>ORD193</v>
      </c>
      <c r="C194" t="s">
        <v>3</v>
      </c>
      <c r="D194" t="s">
        <v>35</v>
      </c>
      <c r="E194" t="s">
        <v>14</v>
      </c>
      <c r="F194" s="5">
        <v>7</v>
      </c>
      <c r="G194" s="3">
        <f t="shared" ca="1" si="24"/>
        <v>5304</v>
      </c>
      <c r="H194" s="4">
        <f t="shared" ca="1" si="28"/>
        <v>37128</v>
      </c>
      <c r="I194" s="6" t="s">
        <v>36</v>
      </c>
    </row>
    <row r="195" spans="1:9">
      <c r="A195" s="2">
        <v>45485</v>
      </c>
      <c r="B195" t="str">
        <f t="shared" si="25"/>
        <v>ORD194</v>
      </c>
      <c r="C195" t="s">
        <v>7</v>
      </c>
      <c r="D195" t="s">
        <v>35</v>
      </c>
      <c r="E195" t="s">
        <v>11</v>
      </c>
      <c r="F195" s="5">
        <v>2</v>
      </c>
      <c r="G195" s="3">
        <f t="shared" ref="G195:G258" ca="1" si="35">IF(C195= "Laptop",RANDBETWEEN(40000,60000),IF(C195="Mobile",RANDBETWEEN(15000,30000),IF(OR(C195="Chair",C195="Table"),RANDBETWEEN(3000,12000),RANDBETWEEN(800,3000))))</f>
        <v>10288</v>
      </c>
      <c r="H195" s="4">
        <f t="shared" ca="1" si="28"/>
        <v>20576</v>
      </c>
      <c r="I195" s="6" t="s">
        <v>31</v>
      </c>
    </row>
    <row r="196" spans="1:9">
      <c r="A196" s="2">
        <v>45486</v>
      </c>
      <c r="B196" t="str">
        <f t="shared" si="25"/>
        <v>ORD195</v>
      </c>
      <c r="C196" t="s">
        <v>4</v>
      </c>
      <c r="D196" t="s">
        <v>39</v>
      </c>
      <c r="E196" t="s">
        <v>13</v>
      </c>
      <c r="F196" s="5">
        <v>3</v>
      </c>
      <c r="G196" s="3">
        <f t="shared" ca="1" si="35"/>
        <v>2020</v>
      </c>
      <c r="H196" s="4">
        <f t="shared" ca="1" si="29"/>
        <v>6060</v>
      </c>
      <c r="I196" s="6" t="s">
        <v>33</v>
      </c>
    </row>
    <row r="197" spans="1:9">
      <c r="A197" s="2">
        <v>45487</v>
      </c>
      <c r="B197" t="str">
        <f t="shared" si="25"/>
        <v>ORD196</v>
      </c>
      <c r="C197" t="s">
        <v>5</v>
      </c>
      <c r="D197" t="s">
        <v>30</v>
      </c>
      <c r="E197" t="s">
        <v>12</v>
      </c>
      <c r="F197" s="5">
        <v>5</v>
      </c>
      <c r="G197" s="3">
        <f t="shared" ca="1" si="35"/>
        <v>51266</v>
      </c>
      <c r="H197" s="4">
        <f t="shared" ca="1" si="29"/>
        <v>256330</v>
      </c>
      <c r="I197" s="6" t="s">
        <v>31</v>
      </c>
    </row>
    <row r="198" spans="1:9">
      <c r="A198" s="2">
        <v>45488</v>
      </c>
      <c r="B198" t="str">
        <f t="shared" si="25"/>
        <v>ORD197</v>
      </c>
      <c r="C198" t="s">
        <v>6</v>
      </c>
      <c r="D198" t="s">
        <v>30</v>
      </c>
      <c r="E198" t="s">
        <v>13</v>
      </c>
      <c r="F198" s="5">
        <v>4</v>
      </c>
      <c r="G198" s="3">
        <f t="shared" ca="1" si="35"/>
        <v>20669</v>
      </c>
      <c r="H198" s="4">
        <f t="shared" ca="1" si="29"/>
        <v>82676</v>
      </c>
      <c r="I198" s="6" t="s">
        <v>33</v>
      </c>
    </row>
    <row r="199" spans="1:9">
      <c r="A199" s="2">
        <v>45489</v>
      </c>
      <c r="B199" t="str">
        <f t="shared" si="25"/>
        <v>ORD198</v>
      </c>
      <c r="C199" t="s">
        <v>3</v>
      </c>
      <c r="D199" t="s">
        <v>35</v>
      </c>
      <c r="E199" t="s">
        <v>11</v>
      </c>
      <c r="F199" s="5">
        <v>2</v>
      </c>
      <c r="G199" s="3">
        <f t="shared" ca="1" si="35"/>
        <v>6442</v>
      </c>
      <c r="H199" s="4">
        <f t="shared" ca="1" si="30"/>
        <v>12884</v>
      </c>
      <c r="I199" s="6" t="s">
        <v>36</v>
      </c>
    </row>
    <row r="200" spans="1:9">
      <c r="A200" s="2">
        <v>45490</v>
      </c>
      <c r="B200" t="str">
        <f t="shared" ref="B200:B263" si="36">"ORD"&amp;TEXT(ROW()-1,"000")</f>
        <v>ORD199</v>
      </c>
      <c r="C200" t="s">
        <v>7</v>
      </c>
      <c r="D200" t="s">
        <v>35</v>
      </c>
      <c r="E200" t="s">
        <v>14</v>
      </c>
      <c r="F200" s="5">
        <v>3</v>
      </c>
      <c r="G200" s="3">
        <f t="shared" ca="1" si="35"/>
        <v>7476</v>
      </c>
      <c r="H200" s="4">
        <f t="shared" ca="1" si="30"/>
        <v>22428</v>
      </c>
      <c r="I200" s="6" t="s">
        <v>31</v>
      </c>
    </row>
    <row r="201" spans="1:9">
      <c r="A201" s="2">
        <v>45491</v>
      </c>
      <c r="B201" t="str">
        <f t="shared" si="36"/>
        <v>ORD200</v>
      </c>
      <c r="C201" t="s">
        <v>4</v>
      </c>
      <c r="D201" t="s">
        <v>39</v>
      </c>
      <c r="E201" t="s">
        <v>12</v>
      </c>
      <c r="F201" s="5">
        <v>1</v>
      </c>
      <c r="G201" s="3">
        <f t="shared" ca="1" si="35"/>
        <v>1972</v>
      </c>
      <c r="H201" s="4">
        <f t="shared" ca="1" si="30"/>
        <v>1972</v>
      </c>
      <c r="I201" s="6" t="s">
        <v>33</v>
      </c>
    </row>
    <row r="202" spans="1:9">
      <c r="A202" s="2">
        <v>45492</v>
      </c>
      <c r="B202" t="str">
        <f t="shared" si="36"/>
        <v>ORD201</v>
      </c>
      <c r="C202" t="s">
        <v>5</v>
      </c>
      <c r="D202" t="s">
        <v>30</v>
      </c>
      <c r="E202" t="s">
        <v>13</v>
      </c>
      <c r="F202" s="5">
        <v>1</v>
      </c>
      <c r="G202" s="3">
        <f t="shared" ca="1" si="35"/>
        <v>54126</v>
      </c>
      <c r="H202" s="4">
        <f t="shared" ref="H202:H204" ca="1" si="37">F202*G202</f>
        <v>54126</v>
      </c>
      <c r="I202" s="6" t="s">
        <v>31</v>
      </c>
    </row>
    <row r="203" spans="1:9">
      <c r="A203" s="2">
        <v>45493</v>
      </c>
      <c r="B203" t="str">
        <f t="shared" si="36"/>
        <v>ORD202</v>
      </c>
      <c r="C203" t="s">
        <v>6</v>
      </c>
      <c r="D203" t="s">
        <v>30</v>
      </c>
      <c r="E203" t="s">
        <v>12</v>
      </c>
      <c r="F203" s="5">
        <v>1</v>
      </c>
      <c r="G203" s="3">
        <f t="shared" ca="1" si="35"/>
        <v>19655</v>
      </c>
      <c r="H203" s="4">
        <f t="shared" ca="1" si="37"/>
        <v>19655</v>
      </c>
      <c r="I203" s="6" t="s">
        <v>33</v>
      </c>
    </row>
    <row r="204" spans="1:9">
      <c r="A204" s="2">
        <v>45494</v>
      </c>
      <c r="B204" t="str">
        <f t="shared" si="36"/>
        <v>ORD203</v>
      </c>
      <c r="C204" t="s">
        <v>3</v>
      </c>
      <c r="D204" t="s">
        <v>35</v>
      </c>
      <c r="E204" t="s">
        <v>14</v>
      </c>
      <c r="F204" s="5">
        <v>1</v>
      </c>
      <c r="G204" s="3">
        <f t="shared" ca="1" si="35"/>
        <v>11446</v>
      </c>
      <c r="H204" s="4">
        <f t="shared" ca="1" si="37"/>
        <v>11446</v>
      </c>
      <c r="I204" s="6" t="s">
        <v>36</v>
      </c>
    </row>
    <row r="205" spans="1:9">
      <c r="A205" s="2">
        <v>45495</v>
      </c>
      <c r="B205" t="str">
        <f t="shared" si="36"/>
        <v>ORD204</v>
      </c>
      <c r="C205" t="s">
        <v>7</v>
      </c>
      <c r="D205" t="s">
        <v>35</v>
      </c>
      <c r="E205" t="s">
        <v>11</v>
      </c>
      <c r="F205" s="5">
        <v>1</v>
      </c>
      <c r="G205" s="3">
        <f t="shared" ca="1" si="35"/>
        <v>11308</v>
      </c>
      <c r="H205" s="4">
        <f t="shared" ca="1" si="28"/>
        <v>11308</v>
      </c>
      <c r="I205" s="6" t="s">
        <v>31</v>
      </c>
    </row>
    <row r="206" spans="1:9">
      <c r="A206" s="2">
        <v>45496</v>
      </c>
      <c r="B206" t="str">
        <f t="shared" si="36"/>
        <v>ORD205</v>
      </c>
      <c r="C206" t="s">
        <v>4</v>
      </c>
      <c r="D206" t="s">
        <v>39</v>
      </c>
      <c r="E206" t="s">
        <v>13</v>
      </c>
      <c r="F206" s="5">
        <v>1</v>
      </c>
      <c r="G206" s="3">
        <f t="shared" ca="1" si="35"/>
        <v>2915</v>
      </c>
      <c r="H206" s="4">
        <f t="shared" ca="1" si="28"/>
        <v>2915</v>
      </c>
      <c r="I206" s="6" t="s">
        <v>33</v>
      </c>
    </row>
    <row r="207" spans="1:9">
      <c r="A207" s="2">
        <v>45497</v>
      </c>
      <c r="B207" t="str">
        <f t="shared" si="36"/>
        <v>ORD206</v>
      </c>
      <c r="C207" t="s">
        <v>5</v>
      </c>
      <c r="D207" t="s">
        <v>30</v>
      </c>
      <c r="E207" t="s">
        <v>12</v>
      </c>
      <c r="F207" s="5">
        <v>1</v>
      </c>
      <c r="G207" s="3">
        <f t="shared" ca="1" si="35"/>
        <v>41337</v>
      </c>
      <c r="H207" s="4">
        <f t="shared" ca="1" si="29"/>
        <v>41337</v>
      </c>
      <c r="I207" s="6" t="s">
        <v>31</v>
      </c>
    </row>
    <row r="208" spans="1:9">
      <c r="A208" s="2">
        <v>45498</v>
      </c>
      <c r="B208" t="str">
        <f t="shared" si="36"/>
        <v>ORD207</v>
      </c>
      <c r="C208" t="s">
        <v>6</v>
      </c>
      <c r="D208" t="s">
        <v>30</v>
      </c>
      <c r="E208" t="s">
        <v>13</v>
      </c>
      <c r="F208" s="5">
        <v>1</v>
      </c>
      <c r="G208" s="3">
        <f t="shared" ca="1" si="35"/>
        <v>26700</v>
      </c>
      <c r="H208" s="4">
        <f t="shared" ca="1" si="29"/>
        <v>26700</v>
      </c>
      <c r="I208" s="6" t="s">
        <v>33</v>
      </c>
    </row>
    <row r="209" spans="1:9">
      <c r="A209" s="2">
        <v>45499</v>
      </c>
      <c r="B209" t="str">
        <f t="shared" si="36"/>
        <v>ORD208</v>
      </c>
      <c r="C209" t="s">
        <v>3</v>
      </c>
      <c r="D209" t="s">
        <v>35</v>
      </c>
      <c r="E209" t="s">
        <v>11</v>
      </c>
      <c r="F209" s="5">
        <v>1</v>
      </c>
      <c r="G209" s="3">
        <f t="shared" ca="1" si="35"/>
        <v>9390</v>
      </c>
      <c r="H209" s="4">
        <f t="shared" ca="1" si="29"/>
        <v>9390</v>
      </c>
      <c r="I209" s="6" t="s">
        <v>36</v>
      </c>
    </row>
    <row r="210" spans="1:9">
      <c r="A210" s="2">
        <v>45500</v>
      </c>
      <c r="B210" t="str">
        <f t="shared" si="36"/>
        <v>ORD209</v>
      </c>
      <c r="C210" t="s">
        <v>7</v>
      </c>
      <c r="D210" t="s">
        <v>35</v>
      </c>
      <c r="E210" t="s">
        <v>14</v>
      </c>
      <c r="F210" s="5">
        <v>1</v>
      </c>
      <c r="G210" s="3">
        <f t="shared" ca="1" si="35"/>
        <v>8303</v>
      </c>
      <c r="H210" s="4">
        <f t="shared" ca="1" si="30"/>
        <v>8303</v>
      </c>
      <c r="I210" s="6" t="s">
        <v>31</v>
      </c>
    </row>
    <row r="211" spans="1:9">
      <c r="A211" s="2">
        <v>45501</v>
      </c>
      <c r="B211" t="str">
        <f t="shared" si="36"/>
        <v>ORD210</v>
      </c>
      <c r="C211" t="s">
        <v>4</v>
      </c>
      <c r="D211" t="s">
        <v>39</v>
      </c>
      <c r="E211" t="s">
        <v>12</v>
      </c>
      <c r="F211" s="5">
        <v>2</v>
      </c>
      <c r="G211" s="3">
        <f t="shared" ca="1" si="35"/>
        <v>1150</v>
      </c>
      <c r="H211" s="4">
        <f t="shared" ca="1" si="30"/>
        <v>2300</v>
      </c>
      <c r="I211" s="6" t="s">
        <v>33</v>
      </c>
    </row>
    <row r="212" spans="1:9">
      <c r="A212" s="2">
        <v>45502</v>
      </c>
      <c r="B212" t="str">
        <f t="shared" si="36"/>
        <v>ORD211</v>
      </c>
      <c r="C212" t="s">
        <v>5</v>
      </c>
      <c r="D212" t="s">
        <v>30</v>
      </c>
      <c r="E212" t="s">
        <v>13</v>
      </c>
      <c r="F212" s="5">
        <v>2</v>
      </c>
      <c r="G212" s="3">
        <f t="shared" ca="1" si="35"/>
        <v>44994</v>
      </c>
      <c r="H212" s="4">
        <f t="shared" ca="1" si="30"/>
        <v>89988</v>
      </c>
      <c r="I212" s="6" t="s">
        <v>31</v>
      </c>
    </row>
    <row r="213" spans="1:9">
      <c r="A213" s="2">
        <v>45503</v>
      </c>
      <c r="B213" t="str">
        <f t="shared" si="36"/>
        <v>ORD212</v>
      </c>
      <c r="C213" t="s">
        <v>6</v>
      </c>
      <c r="D213" t="s">
        <v>30</v>
      </c>
      <c r="E213" t="s">
        <v>12</v>
      </c>
      <c r="F213" s="5">
        <v>2</v>
      </c>
      <c r="G213" s="3">
        <f t="shared" ca="1" si="35"/>
        <v>27272</v>
      </c>
      <c r="H213" s="4">
        <f t="shared" ref="H213:H215" ca="1" si="38">F213*G213</f>
        <v>54544</v>
      </c>
      <c r="I213" s="6" t="s">
        <v>33</v>
      </c>
    </row>
    <row r="214" spans="1:9">
      <c r="A214" s="2">
        <v>45504</v>
      </c>
      <c r="B214" t="str">
        <f t="shared" si="36"/>
        <v>ORD213</v>
      </c>
      <c r="C214" t="s">
        <v>3</v>
      </c>
      <c r="D214" t="s">
        <v>35</v>
      </c>
      <c r="E214" t="s">
        <v>14</v>
      </c>
      <c r="F214" s="5">
        <v>3</v>
      </c>
      <c r="G214" s="3">
        <f t="shared" ca="1" si="35"/>
        <v>9322</v>
      </c>
      <c r="H214" s="4">
        <f t="shared" ca="1" si="38"/>
        <v>27966</v>
      </c>
      <c r="I214" s="6" t="s">
        <v>36</v>
      </c>
    </row>
    <row r="215" spans="1:9">
      <c r="A215" s="2">
        <v>45505</v>
      </c>
      <c r="B215" t="str">
        <f t="shared" si="36"/>
        <v>ORD214</v>
      </c>
      <c r="C215" t="s">
        <v>7</v>
      </c>
      <c r="D215" t="s">
        <v>35</v>
      </c>
      <c r="E215" t="s">
        <v>11</v>
      </c>
      <c r="F215" s="5">
        <v>5</v>
      </c>
      <c r="G215" s="3">
        <f t="shared" ca="1" si="35"/>
        <v>7552</v>
      </c>
      <c r="H215" s="4">
        <f t="shared" ca="1" si="38"/>
        <v>37760</v>
      </c>
      <c r="I215" s="6" t="s">
        <v>31</v>
      </c>
    </row>
    <row r="216" spans="1:9">
      <c r="A216" s="2">
        <v>45506</v>
      </c>
      <c r="B216" t="str">
        <f t="shared" si="36"/>
        <v>ORD215</v>
      </c>
      <c r="C216" t="s">
        <v>4</v>
      </c>
      <c r="D216" t="s">
        <v>39</v>
      </c>
      <c r="E216" t="s">
        <v>13</v>
      </c>
      <c r="F216" s="5">
        <v>5</v>
      </c>
      <c r="G216" s="3">
        <f t="shared" ca="1" si="35"/>
        <v>2989</v>
      </c>
      <c r="H216" s="4">
        <f t="shared" ref="H216:H272" ca="1" si="39">+F216*G216</f>
        <v>14945</v>
      </c>
      <c r="I216" s="6" t="s">
        <v>33</v>
      </c>
    </row>
    <row r="217" spans="1:9">
      <c r="A217" s="2">
        <v>45507</v>
      </c>
      <c r="B217" t="str">
        <f t="shared" si="36"/>
        <v>ORD216</v>
      </c>
      <c r="C217" t="s">
        <v>5</v>
      </c>
      <c r="D217" t="s">
        <v>30</v>
      </c>
      <c r="E217" t="s">
        <v>12</v>
      </c>
      <c r="F217" s="5">
        <v>5</v>
      </c>
      <c r="G217" s="3">
        <f t="shared" ca="1" si="35"/>
        <v>58266</v>
      </c>
      <c r="H217" s="4">
        <f t="shared" ca="1" si="39"/>
        <v>291330</v>
      </c>
      <c r="I217" s="6" t="s">
        <v>31</v>
      </c>
    </row>
    <row r="218" spans="1:9">
      <c r="A218" s="2">
        <v>45508</v>
      </c>
      <c r="B218" t="str">
        <f t="shared" si="36"/>
        <v>ORD217</v>
      </c>
      <c r="C218" t="s">
        <v>6</v>
      </c>
      <c r="D218" t="s">
        <v>30</v>
      </c>
      <c r="E218" t="s">
        <v>13</v>
      </c>
      <c r="F218" s="5">
        <v>6</v>
      </c>
      <c r="G218" s="3">
        <f t="shared" ca="1" si="35"/>
        <v>22044</v>
      </c>
      <c r="H218" s="4">
        <f t="shared" ref="H218:H275" ca="1" si="40">F218*G218</f>
        <v>132264</v>
      </c>
      <c r="I218" s="6" t="s">
        <v>33</v>
      </c>
    </row>
    <row r="219" spans="1:9">
      <c r="A219" s="2">
        <v>45509</v>
      </c>
      <c r="B219" t="str">
        <f t="shared" si="36"/>
        <v>ORD218</v>
      </c>
      <c r="C219" t="s">
        <v>3</v>
      </c>
      <c r="D219" t="s">
        <v>35</v>
      </c>
      <c r="E219" t="s">
        <v>11</v>
      </c>
      <c r="F219" s="5">
        <v>3</v>
      </c>
      <c r="G219" s="3">
        <f t="shared" ca="1" si="35"/>
        <v>8996</v>
      </c>
      <c r="H219" s="4">
        <f t="shared" ca="1" si="40"/>
        <v>26988</v>
      </c>
      <c r="I219" s="6" t="s">
        <v>36</v>
      </c>
    </row>
    <row r="220" spans="1:9">
      <c r="A220" s="2">
        <v>45510</v>
      </c>
      <c r="B220" t="str">
        <f t="shared" si="36"/>
        <v>ORD219</v>
      </c>
      <c r="C220" t="s">
        <v>7</v>
      </c>
      <c r="D220" t="s">
        <v>35</v>
      </c>
      <c r="E220" t="s">
        <v>14</v>
      </c>
      <c r="F220" s="5">
        <v>3</v>
      </c>
      <c r="G220" s="3">
        <f t="shared" ca="1" si="35"/>
        <v>8477</v>
      </c>
      <c r="H220" s="4">
        <f t="shared" ca="1" si="40"/>
        <v>25431</v>
      </c>
      <c r="I220" s="6" t="s">
        <v>31</v>
      </c>
    </row>
    <row r="221" spans="1:9">
      <c r="A221" s="2">
        <v>45511</v>
      </c>
      <c r="B221" t="str">
        <f t="shared" si="36"/>
        <v>ORD220</v>
      </c>
      <c r="C221" t="s">
        <v>4</v>
      </c>
      <c r="D221" t="s">
        <v>39</v>
      </c>
      <c r="E221" t="s">
        <v>12</v>
      </c>
      <c r="F221" s="5">
        <v>2</v>
      </c>
      <c r="G221" s="3">
        <f t="shared" ca="1" si="35"/>
        <v>1816</v>
      </c>
      <c r="H221" s="4">
        <f t="shared" ref="H221:H278" ca="1" si="41">+F221*G221</f>
        <v>3632</v>
      </c>
      <c r="I221" s="6" t="s">
        <v>33</v>
      </c>
    </row>
    <row r="222" spans="1:9">
      <c r="A222" s="2">
        <v>45512</v>
      </c>
      <c r="B222" t="str">
        <f t="shared" si="36"/>
        <v>ORD221</v>
      </c>
      <c r="C222" t="s">
        <v>5</v>
      </c>
      <c r="D222" t="s">
        <v>30</v>
      </c>
      <c r="E222" t="s">
        <v>13</v>
      </c>
      <c r="F222" s="5">
        <v>4</v>
      </c>
      <c r="G222" s="3">
        <f t="shared" ca="1" si="35"/>
        <v>55462</v>
      </c>
      <c r="H222" s="4">
        <f t="shared" ca="1" si="41"/>
        <v>221848</v>
      </c>
      <c r="I222" s="6" t="s">
        <v>31</v>
      </c>
    </row>
    <row r="223" spans="1:9">
      <c r="A223" s="2">
        <v>45513</v>
      </c>
      <c r="B223" t="str">
        <f t="shared" si="36"/>
        <v>ORD222</v>
      </c>
      <c r="C223" t="s">
        <v>6</v>
      </c>
      <c r="D223" t="s">
        <v>30</v>
      </c>
      <c r="E223" t="s">
        <v>12</v>
      </c>
      <c r="F223" s="5">
        <v>4</v>
      </c>
      <c r="G223" s="3">
        <f t="shared" ca="1" si="35"/>
        <v>20990</v>
      </c>
      <c r="H223" s="4">
        <f t="shared" ca="1" si="41"/>
        <v>83960</v>
      </c>
      <c r="I223" s="6" t="s">
        <v>33</v>
      </c>
    </row>
    <row r="224" spans="1:9">
      <c r="A224" s="2">
        <v>45514</v>
      </c>
      <c r="B224" t="str">
        <f t="shared" si="36"/>
        <v>ORD223</v>
      </c>
      <c r="C224" t="s">
        <v>3</v>
      </c>
      <c r="D224" t="s">
        <v>35</v>
      </c>
      <c r="E224" t="s">
        <v>14</v>
      </c>
      <c r="F224" s="5">
        <v>7</v>
      </c>
      <c r="G224" s="3">
        <f t="shared" ca="1" si="35"/>
        <v>9895</v>
      </c>
      <c r="H224" s="4">
        <f t="shared" ref="H224:H226" ca="1" si="42">F224*G224</f>
        <v>69265</v>
      </c>
      <c r="I224" s="6" t="s">
        <v>36</v>
      </c>
    </row>
    <row r="225" spans="1:9">
      <c r="A225" s="2">
        <v>45515</v>
      </c>
      <c r="B225" t="str">
        <f t="shared" si="36"/>
        <v>ORD224</v>
      </c>
      <c r="C225" t="s">
        <v>7</v>
      </c>
      <c r="D225" t="s">
        <v>35</v>
      </c>
      <c r="E225" t="s">
        <v>11</v>
      </c>
      <c r="F225" s="5">
        <v>7</v>
      </c>
      <c r="G225" s="3">
        <f t="shared" ca="1" si="35"/>
        <v>10208</v>
      </c>
      <c r="H225" s="4">
        <f t="shared" ca="1" si="42"/>
        <v>71456</v>
      </c>
      <c r="I225" s="6" t="s">
        <v>31</v>
      </c>
    </row>
    <row r="226" spans="1:9">
      <c r="A226" s="2">
        <v>45516</v>
      </c>
      <c r="B226" t="str">
        <f t="shared" si="36"/>
        <v>ORD225</v>
      </c>
      <c r="C226" t="s">
        <v>4</v>
      </c>
      <c r="D226" t="s">
        <v>39</v>
      </c>
      <c r="E226" t="s">
        <v>13</v>
      </c>
      <c r="F226" s="5">
        <v>5</v>
      </c>
      <c r="G226" s="3">
        <f t="shared" ca="1" si="35"/>
        <v>2994</v>
      </c>
      <c r="H226" s="4">
        <f t="shared" ca="1" si="42"/>
        <v>14970</v>
      </c>
      <c r="I226" s="6" t="s">
        <v>33</v>
      </c>
    </row>
    <row r="227" spans="1:9">
      <c r="A227" s="2">
        <v>45517</v>
      </c>
      <c r="B227" t="str">
        <f t="shared" si="36"/>
        <v>ORD226</v>
      </c>
      <c r="C227" t="s">
        <v>5</v>
      </c>
      <c r="D227" t="s">
        <v>30</v>
      </c>
      <c r="E227" t="s">
        <v>12</v>
      </c>
      <c r="F227" s="5">
        <v>9</v>
      </c>
      <c r="G227" s="3">
        <f t="shared" ca="1" si="35"/>
        <v>44754</v>
      </c>
      <c r="H227" s="4">
        <f t="shared" ca="1" si="39"/>
        <v>402786</v>
      </c>
      <c r="I227" s="6" t="s">
        <v>31</v>
      </c>
    </row>
    <row r="228" spans="1:9">
      <c r="A228" s="2">
        <v>45518</v>
      </c>
      <c r="B228" t="str">
        <f t="shared" si="36"/>
        <v>ORD227</v>
      </c>
      <c r="C228" t="s">
        <v>6</v>
      </c>
      <c r="D228" t="s">
        <v>30</v>
      </c>
      <c r="E228" t="s">
        <v>13</v>
      </c>
      <c r="F228" s="5">
        <v>8</v>
      </c>
      <c r="G228" s="3">
        <f t="shared" ca="1" si="35"/>
        <v>23609</v>
      </c>
      <c r="H228" s="4">
        <f t="shared" ca="1" si="39"/>
        <v>188872</v>
      </c>
      <c r="I228" s="6" t="s">
        <v>33</v>
      </c>
    </row>
    <row r="229" spans="1:9">
      <c r="A229" s="2">
        <v>45519</v>
      </c>
      <c r="B229" t="str">
        <f t="shared" si="36"/>
        <v>ORD228</v>
      </c>
      <c r="C229" t="s">
        <v>3</v>
      </c>
      <c r="D229" t="s">
        <v>35</v>
      </c>
      <c r="E229" t="s">
        <v>11</v>
      </c>
      <c r="F229" s="5">
        <v>7</v>
      </c>
      <c r="G229" s="3">
        <f t="shared" ca="1" si="35"/>
        <v>4629</v>
      </c>
      <c r="H229" s="4">
        <f t="shared" ca="1" si="40"/>
        <v>32403</v>
      </c>
      <c r="I229" s="6" t="s">
        <v>36</v>
      </c>
    </row>
    <row r="230" spans="1:9">
      <c r="A230" s="2">
        <v>45520</v>
      </c>
      <c r="B230" t="str">
        <f t="shared" si="36"/>
        <v>ORD229</v>
      </c>
      <c r="C230" t="s">
        <v>7</v>
      </c>
      <c r="D230" t="s">
        <v>35</v>
      </c>
      <c r="E230" t="s">
        <v>14</v>
      </c>
      <c r="F230" s="5">
        <v>6</v>
      </c>
      <c r="G230" s="3">
        <f t="shared" ca="1" si="35"/>
        <v>4194</v>
      </c>
      <c r="H230" s="4">
        <f t="shared" ca="1" si="40"/>
        <v>25164</v>
      </c>
      <c r="I230" s="6" t="s">
        <v>31</v>
      </c>
    </row>
    <row r="231" spans="1:9">
      <c r="A231" s="2">
        <v>45521</v>
      </c>
      <c r="B231" t="str">
        <f t="shared" si="36"/>
        <v>ORD230</v>
      </c>
      <c r="C231" t="s">
        <v>4</v>
      </c>
      <c r="D231" t="s">
        <v>39</v>
      </c>
      <c r="E231" t="s">
        <v>12</v>
      </c>
      <c r="F231" s="5">
        <v>1</v>
      </c>
      <c r="G231" s="3">
        <f t="shared" ca="1" si="35"/>
        <v>2080</v>
      </c>
      <c r="H231" s="4">
        <f t="shared" ca="1" si="40"/>
        <v>2080</v>
      </c>
      <c r="I231" s="6" t="s">
        <v>33</v>
      </c>
    </row>
    <row r="232" spans="1:9">
      <c r="A232" s="2">
        <v>45522</v>
      </c>
      <c r="B232" t="str">
        <f t="shared" si="36"/>
        <v>ORD231</v>
      </c>
      <c r="C232" t="s">
        <v>5</v>
      </c>
      <c r="D232" t="s">
        <v>30</v>
      </c>
      <c r="E232" t="s">
        <v>13</v>
      </c>
      <c r="F232" s="5">
        <v>1</v>
      </c>
      <c r="G232" s="3">
        <f t="shared" ca="1" si="35"/>
        <v>55115</v>
      </c>
      <c r="H232" s="4">
        <f t="shared" ca="1" si="41"/>
        <v>55115</v>
      </c>
      <c r="I232" s="6" t="s">
        <v>31</v>
      </c>
    </row>
    <row r="233" spans="1:9">
      <c r="A233" s="2">
        <v>45523</v>
      </c>
      <c r="B233" t="str">
        <f t="shared" si="36"/>
        <v>ORD232</v>
      </c>
      <c r="C233" t="s">
        <v>6</v>
      </c>
      <c r="D233" t="s">
        <v>30</v>
      </c>
      <c r="E233" t="s">
        <v>12</v>
      </c>
      <c r="F233" s="5">
        <v>4</v>
      </c>
      <c r="G233" s="3">
        <f t="shared" ca="1" si="35"/>
        <v>28202</v>
      </c>
      <c r="H233" s="4">
        <f t="shared" ca="1" si="41"/>
        <v>112808</v>
      </c>
      <c r="I233" s="6" t="s">
        <v>33</v>
      </c>
    </row>
    <row r="234" spans="1:9">
      <c r="A234" s="2">
        <v>45524</v>
      </c>
      <c r="B234" t="str">
        <f t="shared" si="36"/>
        <v>ORD233</v>
      </c>
      <c r="C234" t="s">
        <v>3</v>
      </c>
      <c r="D234" t="s">
        <v>35</v>
      </c>
      <c r="E234" t="s">
        <v>14</v>
      </c>
      <c r="F234" s="5">
        <v>5</v>
      </c>
      <c r="G234" s="3">
        <f t="shared" ca="1" si="35"/>
        <v>4796</v>
      </c>
      <c r="H234" s="4">
        <f t="shared" ca="1" si="41"/>
        <v>23980</v>
      </c>
      <c r="I234" s="6" t="s">
        <v>36</v>
      </c>
    </row>
    <row r="235" spans="1:9">
      <c r="A235" s="2">
        <v>45525</v>
      </c>
      <c r="B235" t="str">
        <f t="shared" si="36"/>
        <v>ORD234</v>
      </c>
      <c r="C235" t="s">
        <v>7</v>
      </c>
      <c r="D235" t="s">
        <v>35</v>
      </c>
      <c r="E235" t="s">
        <v>11</v>
      </c>
      <c r="F235" s="5">
        <v>6</v>
      </c>
      <c r="G235" s="3">
        <f t="shared" ca="1" si="35"/>
        <v>8869</v>
      </c>
      <c r="H235" s="4">
        <f t="shared" ref="H235:H237" ca="1" si="43">F235*G235</f>
        <v>53214</v>
      </c>
      <c r="I235" s="6" t="s">
        <v>31</v>
      </c>
    </row>
    <row r="236" spans="1:9">
      <c r="A236" s="2">
        <v>45526</v>
      </c>
      <c r="B236" t="str">
        <f t="shared" si="36"/>
        <v>ORD235</v>
      </c>
      <c r="C236" t="s">
        <v>4</v>
      </c>
      <c r="D236" t="s">
        <v>39</v>
      </c>
      <c r="E236" t="s">
        <v>13</v>
      </c>
      <c r="F236" s="5">
        <v>7</v>
      </c>
      <c r="G236" s="3">
        <f t="shared" ca="1" si="35"/>
        <v>2612</v>
      </c>
      <c r="H236" s="4">
        <f t="shared" ca="1" si="43"/>
        <v>18284</v>
      </c>
      <c r="I236" s="6" t="s">
        <v>33</v>
      </c>
    </row>
    <row r="237" spans="1:9">
      <c r="A237" s="2">
        <v>45527</v>
      </c>
      <c r="B237" t="str">
        <f t="shared" si="36"/>
        <v>ORD236</v>
      </c>
      <c r="C237" t="s">
        <v>5</v>
      </c>
      <c r="D237" t="s">
        <v>30</v>
      </c>
      <c r="E237" t="s">
        <v>12</v>
      </c>
      <c r="F237" s="5">
        <v>3</v>
      </c>
      <c r="G237" s="3">
        <f t="shared" ca="1" si="35"/>
        <v>48122</v>
      </c>
      <c r="H237" s="4">
        <f t="shared" ca="1" si="43"/>
        <v>144366</v>
      </c>
      <c r="I237" s="6" t="s">
        <v>31</v>
      </c>
    </row>
    <row r="238" spans="1:9">
      <c r="A238" s="2">
        <v>45528</v>
      </c>
      <c r="B238" t="str">
        <f t="shared" si="36"/>
        <v>ORD237</v>
      </c>
      <c r="C238" t="s">
        <v>6</v>
      </c>
      <c r="D238" t="s">
        <v>30</v>
      </c>
      <c r="E238" t="s">
        <v>13</v>
      </c>
      <c r="F238" s="5">
        <v>8</v>
      </c>
      <c r="G238" s="3">
        <f t="shared" ca="1" si="35"/>
        <v>17815</v>
      </c>
      <c r="H238" s="4">
        <f t="shared" ca="1" si="39"/>
        <v>142520</v>
      </c>
      <c r="I238" s="6" t="s">
        <v>33</v>
      </c>
    </row>
    <row r="239" spans="1:9">
      <c r="A239" s="2">
        <v>45529</v>
      </c>
      <c r="B239" t="str">
        <f t="shared" si="36"/>
        <v>ORD238</v>
      </c>
      <c r="C239" t="s">
        <v>3</v>
      </c>
      <c r="D239" t="s">
        <v>35</v>
      </c>
      <c r="E239" t="s">
        <v>11</v>
      </c>
      <c r="F239" s="5">
        <v>9</v>
      </c>
      <c r="G239" s="3">
        <f t="shared" ca="1" si="35"/>
        <v>5007</v>
      </c>
      <c r="H239" s="4">
        <f t="shared" ca="1" si="39"/>
        <v>45063</v>
      </c>
      <c r="I239" s="6" t="s">
        <v>36</v>
      </c>
    </row>
    <row r="240" spans="1:9">
      <c r="A240" s="2">
        <v>45530</v>
      </c>
      <c r="B240" t="str">
        <f t="shared" si="36"/>
        <v>ORD239</v>
      </c>
      <c r="C240" t="s">
        <v>7</v>
      </c>
      <c r="D240" t="s">
        <v>35</v>
      </c>
      <c r="E240" t="s">
        <v>14</v>
      </c>
      <c r="F240" s="5">
        <v>5</v>
      </c>
      <c r="G240" s="3">
        <f t="shared" ca="1" si="35"/>
        <v>4073</v>
      </c>
      <c r="H240" s="4">
        <f t="shared" ca="1" si="40"/>
        <v>20365</v>
      </c>
      <c r="I240" s="6" t="s">
        <v>31</v>
      </c>
    </row>
    <row r="241" spans="1:9">
      <c r="A241" s="2">
        <v>45531</v>
      </c>
      <c r="B241" t="str">
        <f t="shared" si="36"/>
        <v>ORD240</v>
      </c>
      <c r="C241" t="s">
        <v>4</v>
      </c>
      <c r="D241" t="s">
        <v>39</v>
      </c>
      <c r="E241" t="s">
        <v>12</v>
      </c>
      <c r="F241" s="5">
        <v>6</v>
      </c>
      <c r="G241" s="3">
        <f t="shared" ca="1" si="35"/>
        <v>2923</v>
      </c>
      <c r="H241" s="4">
        <f t="shared" ca="1" si="40"/>
        <v>17538</v>
      </c>
      <c r="I241" s="6" t="s">
        <v>33</v>
      </c>
    </row>
    <row r="242" spans="1:9">
      <c r="A242" s="2">
        <v>45532</v>
      </c>
      <c r="B242" t="str">
        <f t="shared" si="36"/>
        <v>ORD241</v>
      </c>
      <c r="C242" t="s">
        <v>5</v>
      </c>
      <c r="D242" t="s">
        <v>30</v>
      </c>
      <c r="E242" t="s">
        <v>13</v>
      </c>
      <c r="F242" s="5">
        <v>3</v>
      </c>
      <c r="G242" s="3">
        <f t="shared" ca="1" si="35"/>
        <v>44133</v>
      </c>
      <c r="H242" s="4">
        <f t="shared" ca="1" si="40"/>
        <v>132399</v>
      </c>
      <c r="I242" s="6" t="s">
        <v>31</v>
      </c>
    </row>
    <row r="243" spans="1:9">
      <c r="A243" s="2">
        <v>45533</v>
      </c>
      <c r="B243" t="str">
        <f t="shared" si="36"/>
        <v>ORD242</v>
      </c>
      <c r="C243" t="s">
        <v>6</v>
      </c>
      <c r="D243" t="s">
        <v>30</v>
      </c>
      <c r="E243" t="s">
        <v>12</v>
      </c>
      <c r="F243" s="5">
        <v>4</v>
      </c>
      <c r="G243" s="3">
        <f t="shared" ca="1" si="35"/>
        <v>26502</v>
      </c>
      <c r="H243" s="4">
        <f t="shared" ca="1" si="41"/>
        <v>106008</v>
      </c>
      <c r="I243" s="6" t="s">
        <v>33</v>
      </c>
    </row>
    <row r="244" spans="1:9">
      <c r="A244" s="2">
        <v>45534</v>
      </c>
      <c r="B244" t="str">
        <f t="shared" si="36"/>
        <v>ORD243</v>
      </c>
      <c r="C244" t="s">
        <v>3</v>
      </c>
      <c r="D244" t="s">
        <v>35</v>
      </c>
      <c r="E244" t="s">
        <v>14</v>
      </c>
      <c r="F244" s="5">
        <v>5</v>
      </c>
      <c r="G244" s="3">
        <f t="shared" ca="1" si="35"/>
        <v>3279</v>
      </c>
      <c r="H244" s="4">
        <f t="shared" ca="1" si="41"/>
        <v>16395</v>
      </c>
      <c r="I244" s="6" t="s">
        <v>36</v>
      </c>
    </row>
    <row r="245" spans="1:9">
      <c r="A245" s="2">
        <v>45535</v>
      </c>
      <c r="B245" t="str">
        <f t="shared" si="36"/>
        <v>ORD244</v>
      </c>
      <c r="C245" t="s">
        <v>7</v>
      </c>
      <c r="D245" t="s">
        <v>35</v>
      </c>
      <c r="E245" t="s">
        <v>11</v>
      </c>
      <c r="F245" s="5">
        <v>6</v>
      </c>
      <c r="G245" s="3">
        <f t="shared" ca="1" si="35"/>
        <v>10557</v>
      </c>
      <c r="H245" s="4">
        <f t="shared" ca="1" si="41"/>
        <v>63342</v>
      </c>
      <c r="I245" s="6" t="s">
        <v>31</v>
      </c>
    </row>
    <row r="246" spans="1:9">
      <c r="A246" s="2">
        <v>45536</v>
      </c>
      <c r="B246" t="str">
        <f t="shared" si="36"/>
        <v>ORD245</v>
      </c>
      <c r="C246" t="s">
        <v>4</v>
      </c>
      <c r="D246" t="s">
        <v>39</v>
      </c>
      <c r="E246" t="s">
        <v>13</v>
      </c>
      <c r="F246" s="5">
        <v>7</v>
      </c>
      <c r="G246" s="3">
        <f t="shared" ca="1" si="35"/>
        <v>2396</v>
      </c>
      <c r="H246" s="4">
        <f t="shared" ref="H246:H248" ca="1" si="44">F246*G246</f>
        <v>16772</v>
      </c>
      <c r="I246" s="6" t="s">
        <v>33</v>
      </c>
    </row>
    <row r="247" spans="1:9">
      <c r="A247" s="2">
        <v>45537</v>
      </c>
      <c r="B247" t="str">
        <f t="shared" si="36"/>
        <v>ORD246</v>
      </c>
      <c r="C247" t="s">
        <v>5</v>
      </c>
      <c r="D247" t="s">
        <v>30</v>
      </c>
      <c r="E247" t="s">
        <v>12</v>
      </c>
      <c r="F247" s="5">
        <v>3</v>
      </c>
      <c r="G247" s="3">
        <f t="shared" ca="1" si="35"/>
        <v>57893</v>
      </c>
      <c r="H247" s="4">
        <f t="shared" ca="1" si="44"/>
        <v>173679</v>
      </c>
      <c r="I247" s="6" t="s">
        <v>31</v>
      </c>
    </row>
    <row r="248" spans="1:9">
      <c r="A248" s="2">
        <v>45538</v>
      </c>
      <c r="B248" t="str">
        <f t="shared" si="36"/>
        <v>ORD247</v>
      </c>
      <c r="C248" t="s">
        <v>6</v>
      </c>
      <c r="D248" t="s">
        <v>30</v>
      </c>
      <c r="E248" t="s">
        <v>13</v>
      </c>
      <c r="F248" s="5">
        <v>2</v>
      </c>
      <c r="G248" s="3">
        <f t="shared" ca="1" si="35"/>
        <v>19173</v>
      </c>
      <c r="H248" s="4">
        <f t="shared" ca="1" si="44"/>
        <v>38346</v>
      </c>
      <c r="I248" s="6" t="s">
        <v>33</v>
      </c>
    </row>
    <row r="249" spans="1:9">
      <c r="A249" s="2">
        <v>45539</v>
      </c>
      <c r="B249" t="str">
        <f t="shared" si="36"/>
        <v>ORD248</v>
      </c>
      <c r="C249" t="s">
        <v>3</v>
      </c>
      <c r="D249" t="s">
        <v>35</v>
      </c>
      <c r="E249" t="s">
        <v>11</v>
      </c>
      <c r="F249" s="5">
        <v>3</v>
      </c>
      <c r="G249" s="3">
        <f t="shared" ca="1" si="35"/>
        <v>5251</v>
      </c>
      <c r="H249" s="4">
        <f t="shared" ca="1" si="39"/>
        <v>15753</v>
      </c>
      <c r="I249" s="6" t="s">
        <v>36</v>
      </c>
    </row>
    <row r="250" spans="1:9">
      <c r="A250" s="2">
        <v>45540</v>
      </c>
      <c r="B250" t="str">
        <f t="shared" si="36"/>
        <v>ORD249</v>
      </c>
      <c r="C250" t="s">
        <v>7</v>
      </c>
      <c r="D250" t="s">
        <v>35</v>
      </c>
      <c r="E250" t="s">
        <v>14</v>
      </c>
      <c r="F250" s="5">
        <v>2</v>
      </c>
      <c r="G250" s="3">
        <f t="shared" ca="1" si="35"/>
        <v>5491</v>
      </c>
      <c r="H250" s="4">
        <f t="shared" ca="1" si="39"/>
        <v>10982</v>
      </c>
      <c r="I250" s="6" t="s">
        <v>31</v>
      </c>
    </row>
    <row r="251" spans="1:9">
      <c r="A251" s="2">
        <v>45541</v>
      </c>
      <c r="B251" t="str">
        <f t="shared" si="36"/>
        <v>ORD250</v>
      </c>
      <c r="C251" t="s">
        <v>4</v>
      </c>
      <c r="D251" t="s">
        <v>39</v>
      </c>
      <c r="E251" t="s">
        <v>12</v>
      </c>
      <c r="F251" s="5">
        <v>1</v>
      </c>
      <c r="G251" s="3">
        <f t="shared" ca="1" si="35"/>
        <v>1621</v>
      </c>
      <c r="H251" s="4">
        <f t="shared" ca="1" si="40"/>
        <v>1621</v>
      </c>
      <c r="I251" s="6" t="s">
        <v>33</v>
      </c>
    </row>
    <row r="252" spans="1:9">
      <c r="A252" s="2">
        <v>45542</v>
      </c>
      <c r="B252" t="str">
        <f t="shared" si="36"/>
        <v>ORD251</v>
      </c>
      <c r="C252" t="s">
        <v>5</v>
      </c>
      <c r="D252" t="s">
        <v>30</v>
      </c>
      <c r="E252" t="s">
        <v>13</v>
      </c>
      <c r="F252" s="5">
        <v>7</v>
      </c>
      <c r="G252" s="3">
        <f t="shared" ca="1" si="35"/>
        <v>43192</v>
      </c>
      <c r="H252" s="4">
        <f t="shared" ca="1" si="40"/>
        <v>302344</v>
      </c>
      <c r="I252" s="6" t="s">
        <v>31</v>
      </c>
    </row>
    <row r="253" spans="1:9">
      <c r="A253" s="2">
        <v>45543</v>
      </c>
      <c r="B253" t="str">
        <f t="shared" si="36"/>
        <v>ORD252</v>
      </c>
      <c r="C253" t="s">
        <v>6</v>
      </c>
      <c r="D253" t="s">
        <v>30</v>
      </c>
      <c r="E253" t="s">
        <v>12</v>
      </c>
      <c r="F253" s="5">
        <v>6</v>
      </c>
      <c r="G253" s="3">
        <f t="shared" ca="1" si="35"/>
        <v>24657</v>
      </c>
      <c r="H253" s="4">
        <f t="shared" ca="1" si="40"/>
        <v>147942</v>
      </c>
      <c r="I253" s="6" t="s">
        <v>33</v>
      </c>
    </row>
    <row r="254" spans="1:9">
      <c r="A254" s="2">
        <v>45544</v>
      </c>
      <c r="B254" t="str">
        <f t="shared" si="36"/>
        <v>ORD253</v>
      </c>
      <c r="C254" t="s">
        <v>3</v>
      </c>
      <c r="D254" t="s">
        <v>35</v>
      </c>
      <c r="E254" t="s">
        <v>14</v>
      </c>
      <c r="F254" s="5">
        <v>3</v>
      </c>
      <c r="G254" s="3">
        <f t="shared" ca="1" si="35"/>
        <v>8715</v>
      </c>
      <c r="H254" s="4">
        <f t="shared" ca="1" si="41"/>
        <v>26145</v>
      </c>
      <c r="I254" s="6" t="s">
        <v>36</v>
      </c>
    </row>
    <row r="255" spans="1:9">
      <c r="A255" s="2">
        <v>45545</v>
      </c>
      <c r="B255" t="str">
        <f t="shared" si="36"/>
        <v>ORD254</v>
      </c>
      <c r="C255" t="s">
        <v>7</v>
      </c>
      <c r="D255" t="s">
        <v>35</v>
      </c>
      <c r="E255" t="s">
        <v>11</v>
      </c>
      <c r="F255" s="5">
        <v>4</v>
      </c>
      <c r="G255" s="3">
        <f t="shared" ca="1" si="35"/>
        <v>10857</v>
      </c>
      <c r="H255" s="4">
        <f t="shared" ca="1" si="41"/>
        <v>43428</v>
      </c>
      <c r="I255" s="6" t="s">
        <v>31</v>
      </c>
    </row>
    <row r="256" spans="1:9">
      <c r="A256" s="2">
        <v>45546</v>
      </c>
      <c r="B256" t="str">
        <f t="shared" si="36"/>
        <v>ORD255</v>
      </c>
      <c r="C256" t="s">
        <v>4</v>
      </c>
      <c r="D256" t="s">
        <v>39</v>
      </c>
      <c r="E256" t="s">
        <v>13</v>
      </c>
      <c r="F256" s="5">
        <v>2</v>
      </c>
      <c r="G256" s="3">
        <f t="shared" ca="1" si="35"/>
        <v>1533</v>
      </c>
      <c r="H256" s="4">
        <f t="shared" ca="1" si="41"/>
        <v>3066</v>
      </c>
      <c r="I256" s="6" t="s">
        <v>33</v>
      </c>
    </row>
    <row r="257" spans="1:9">
      <c r="A257" s="2">
        <v>45547</v>
      </c>
      <c r="B257" t="str">
        <f t="shared" si="36"/>
        <v>ORD256</v>
      </c>
      <c r="C257" t="s">
        <v>5</v>
      </c>
      <c r="D257" t="s">
        <v>30</v>
      </c>
      <c r="E257" t="s">
        <v>12</v>
      </c>
      <c r="F257" s="5">
        <v>9</v>
      </c>
      <c r="G257" s="3">
        <f t="shared" ca="1" si="35"/>
        <v>45466</v>
      </c>
      <c r="H257" s="4">
        <f t="shared" ref="H257:H259" ca="1" si="45">F257*G257</f>
        <v>409194</v>
      </c>
      <c r="I257" s="6" t="s">
        <v>31</v>
      </c>
    </row>
    <row r="258" spans="1:9">
      <c r="A258" s="2">
        <v>45548</v>
      </c>
      <c r="B258" t="str">
        <f t="shared" si="36"/>
        <v>ORD257</v>
      </c>
      <c r="C258" t="s">
        <v>6</v>
      </c>
      <c r="D258" t="s">
        <v>30</v>
      </c>
      <c r="E258" t="s">
        <v>13</v>
      </c>
      <c r="F258" s="5">
        <v>7</v>
      </c>
      <c r="G258" s="3">
        <f t="shared" ca="1" si="35"/>
        <v>21717</v>
      </c>
      <c r="H258" s="4">
        <f t="shared" ca="1" si="45"/>
        <v>152019</v>
      </c>
      <c r="I258" s="6" t="s">
        <v>33</v>
      </c>
    </row>
    <row r="259" spans="1:9">
      <c r="A259" s="2">
        <v>45549</v>
      </c>
      <c r="B259" t="str">
        <f t="shared" si="36"/>
        <v>ORD258</v>
      </c>
      <c r="C259" t="s">
        <v>3</v>
      </c>
      <c r="D259" t="s">
        <v>35</v>
      </c>
      <c r="E259" t="s">
        <v>11</v>
      </c>
      <c r="F259" s="5">
        <v>5</v>
      </c>
      <c r="G259" s="3">
        <f t="shared" ref="G259:G301" ca="1" si="46">IF(C259= "Laptop",RANDBETWEEN(40000,60000),IF(C259="Mobile",RANDBETWEEN(15000,30000),IF(OR(C259="Chair",C259="Table"),RANDBETWEEN(3000,12000),RANDBETWEEN(800,3000))))</f>
        <v>11476</v>
      </c>
      <c r="H259" s="4">
        <f t="shared" ca="1" si="45"/>
        <v>57380</v>
      </c>
      <c r="I259" s="6" t="s">
        <v>36</v>
      </c>
    </row>
    <row r="260" spans="1:9">
      <c r="A260" s="2">
        <v>45550</v>
      </c>
      <c r="B260" t="str">
        <f t="shared" si="36"/>
        <v>ORD259</v>
      </c>
      <c r="C260" t="s">
        <v>7</v>
      </c>
      <c r="D260" t="s">
        <v>35</v>
      </c>
      <c r="E260" t="s">
        <v>14</v>
      </c>
      <c r="F260" s="5">
        <v>3</v>
      </c>
      <c r="G260" s="3">
        <f t="shared" ca="1" si="46"/>
        <v>7119</v>
      </c>
      <c r="H260" s="4">
        <f t="shared" ca="1" si="39"/>
        <v>21357</v>
      </c>
      <c r="I260" s="6" t="s">
        <v>31</v>
      </c>
    </row>
    <row r="261" spans="1:9">
      <c r="A261" s="2">
        <v>45551</v>
      </c>
      <c r="B261" t="str">
        <f t="shared" si="36"/>
        <v>ORD260</v>
      </c>
      <c r="C261" t="s">
        <v>4</v>
      </c>
      <c r="D261" t="s">
        <v>39</v>
      </c>
      <c r="E261" t="s">
        <v>12</v>
      </c>
      <c r="F261" s="5">
        <v>2</v>
      </c>
      <c r="G261" s="3">
        <f t="shared" ca="1" si="46"/>
        <v>1846</v>
      </c>
      <c r="H261" s="4">
        <f t="shared" ca="1" si="39"/>
        <v>3692</v>
      </c>
      <c r="I261" s="6" t="s">
        <v>33</v>
      </c>
    </row>
    <row r="262" spans="1:9">
      <c r="A262" s="2">
        <v>45552</v>
      </c>
      <c r="B262" t="str">
        <f t="shared" si="36"/>
        <v>ORD261</v>
      </c>
      <c r="C262" t="s">
        <v>5</v>
      </c>
      <c r="D262" t="s">
        <v>30</v>
      </c>
      <c r="E262" t="s">
        <v>13</v>
      </c>
      <c r="F262" s="5">
        <v>3</v>
      </c>
      <c r="G262" s="3">
        <f t="shared" ca="1" si="46"/>
        <v>53778</v>
      </c>
      <c r="H262" s="4">
        <f t="shared" ca="1" si="40"/>
        <v>161334</v>
      </c>
      <c r="I262" s="6" t="s">
        <v>31</v>
      </c>
    </row>
    <row r="263" spans="1:9">
      <c r="A263" s="2">
        <v>45553</v>
      </c>
      <c r="B263" t="str">
        <f t="shared" si="36"/>
        <v>ORD262</v>
      </c>
      <c r="C263" t="s">
        <v>6</v>
      </c>
      <c r="D263" t="s">
        <v>30</v>
      </c>
      <c r="E263" t="s">
        <v>12</v>
      </c>
      <c r="F263" s="5">
        <v>4</v>
      </c>
      <c r="G263" s="3">
        <f t="shared" ca="1" si="46"/>
        <v>28195</v>
      </c>
      <c r="H263" s="4">
        <f t="shared" ca="1" si="40"/>
        <v>112780</v>
      </c>
      <c r="I263" s="6" t="s">
        <v>33</v>
      </c>
    </row>
    <row r="264" spans="1:9">
      <c r="A264" s="2">
        <v>45554</v>
      </c>
      <c r="B264" t="str">
        <f t="shared" ref="B264:B301" si="47">"ORD"&amp;TEXT(ROW()-1,"000")</f>
        <v>ORD263</v>
      </c>
      <c r="C264" t="s">
        <v>3</v>
      </c>
      <c r="D264" t="s">
        <v>35</v>
      </c>
      <c r="E264" t="s">
        <v>14</v>
      </c>
      <c r="F264" s="5">
        <v>6</v>
      </c>
      <c r="G264" s="3">
        <f t="shared" ca="1" si="46"/>
        <v>3815</v>
      </c>
      <c r="H264" s="4">
        <f t="shared" ca="1" si="40"/>
        <v>22890</v>
      </c>
      <c r="I264" s="6" t="s">
        <v>36</v>
      </c>
    </row>
    <row r="265" spans="1:9">
      <c r="A265" s="2">
        <v>45555</v>
      </c>
      <c r="B265" t="str">
        <f t="shared" si="47"/>
        <v>ORD264</v>
      </c>
      <c r="C265" t="s">
        <v>7</v>
      </c>
      <c r="D265" t="s">
        <v>35</v>
      </c>
      <c r="E265" t="s">
        <v>11</v>
      </c>
      <c r="F265" s="5">
        <v>1</v>
      </c>
      <c r="G265" s="3">
        <f t="shared" ca="1" si="46"/>
        <v>7979</v>
      </c>
      <c r="H265" s="4">
        <f t="shared" ca="1" si="41"/>
        <v>7979</v>
      </c>
      <c r="I265" s="6" t="s">
        <v>31</v>
      </c>
    </row>
    <row r="266" spans="1:9">
      <c r="A266" s="2">
        <v>45556</v>
      </c>
      <c r="B266" t="str">
        <f t="shared" si="47"/>
        <v>ORD265</v>
      </c>
      <c r="C266" t="s">
        <v>4</v>
      </c>
      <c r="D266" t="s">
        <v>39</v>
      </c>
      <c r="E266" t="s">
        <v>13</v>
      </c>
      <c r="F266" s="5">
        <v>2</v>
      </c>
      <c r="G266" s="3">
        <f t="shared" ca="1" si="46"/>
        <v>2034</v>
      </c>
      <c r="H266" s="4">
        <f t="shared" ca="1" si="41"/>
        <v>4068</v>
      </c>
      <c r="I266" s="6" t="s">
        <v>33</v>
      </c>
    </row>
    <row r="267" spans="1:9">
      <c r="A267" s="2">
        <v>45557</v>
      </c>
      <c r="B267" t="str">
        <f t="shared" si="47"/>
        <v>ORD266</v>
      </c>
      <c r="C267" t="s">
        <v>5</v>
      </c>
      <c r="D267" t="s">
        <v>30</v>
      </c>
      <c r="E267" t="s">
        <v>12</v>
      </c>
      <c r="F267" s="5">
        <v>3</v>
      </c>
      <c r="G267" s="3">
        <f t="shared" ca="1" si="46"/>
        <v>59699</v>
      </c>
      <c r="H267" s="4">
        <f t="shared" ca="1" si="41"/>
        <v>179097</v>
      </c>
      <c r="I267" s="6" t="s">
        <v>31</v>
      </c>
    </row>
    <row r="268" spans="1:9">
      <c r="A268" s="2">
        <v>45558</v>
      </c>
      <c r="B268" t="str">
        <f t="shared" si="47"/>
        <v>ORD267</v>
      </c>
      <c r="C268" t="s">
        <v>6</v>
      </c>
      <c r="D268" t="s">
        <v>30</v>
      </c>
      <c r="E268" t="s">
        <v>13</v>
      </c>
      <c r="F268" s="5">
        <v>4</v>
      </c>
      <c r="G268" s="3">
        <f t="shared" ca="1" si="46"/>
        <v>28484</v>
      </c>
      <c r="H268" s="4">
        <f t="shared" ref="H268:H270" ca="1" si="48">F268*G268</f>
        <v>113936</v>
      </c>
      <c r="I268" s="6" t="s">
        <v>33</v>
      </c>
    </row>
    <row r="269" spans="1:9">
      <c r="A269" s="2">
        <v>45559</v>
      </c>
      <c r="B269" t="str">
        <f t="shared" si="47"/>
        <v>ORD268</v>
      </c>
      <c r="C269" t="s">
        <v>3</v>
      </c>
      <c r="D269" t="s">
        <v>35</v>
      </c>
      <c r="E269" t="s">
        <v>11</v>
      </c>
      <c r="F269" s="5">
        <v>6</v>
      </c>
      <c r="G269" s="3">
        <f t="shared" ca="1" si="46"/>
        <v>11650</v>
      </c>
      <c r="H269" s="4">
        <f t="shared" ca="1" si="48"/>
        <v>69900</v>
      </c>
      <c r="I269" s="6" t="s">
        <v>36</v>
      </c>
    </row>
    <row r="270" spans="1:9">
      <c r="A270" s="2">
        <v>45560</v>
      </c>
      <c r="B270" t="str">
        <f t="shared" si="47"/>
        <v>ORD269</v>
      </c>
      <c r="C270" t="s">
        <v>7</v>
      </c>
      <c r="D270" t="s">
        <v>35</v>
      </c>
      <c r="E270" t="s">
        <v>14</v>
      </c>
      <c r="F270" s="5">
        <v>1</v>
      </c>
      <c r="G270" s="3">
        <f t="shared" ca="1" si="46"/>
        <v>6566</v>
      </c>
      <c r="H270" s="4">
        <f t="shared" ca="1" si="48"/>
        <v>6566</v>
      </c>
      <c r="I270" s="6" t="s">
        <v>31</v>
      </c>
    </row>
    <row r="271" spans="1:9">
      <c r="A271" s="2">
        <v>45561</v>
      </c>
      <c r="B271" t="str">
        <f t="shared" si="47"/>
        <v>ORD270</v>
      </c>
      <c r="C271" t="s">
        <v>4</v>
      </c>
      <c r="D271" t="s">
        <v>39</v>
      </c>
      <c r="E271" t="s">
        <v>12</v>
      </c>
      <c r="F271" s="5">
        <v>3</v>
      </c>
      <c r="G271" s="3">
        <f t="shared" ca="1" si="46"/>
        <v>873</v>
      </c>
      <c r="H271" s="4">
        <f t="shared" ca="1" si="39"/>
        <v>2619</v>
      </c>
      <c r="I271" s="6" t="s">
        <v>33</v>
      </c>
    </row>
    <row r="272" spans="1:9">
      <c r="A272" s="2">
        <v>45562</v>
      </c>
      <c r="B272" t="str">
        <f t="shared" si="47"/>
        <v>ORD271</v>
      </c>
      <c r="C272" t="s">
        <v>5</v>
      </c>
      <c r="D272" t="s">
        <v>30</v>
      </c>
      <c r="E272" t="s">
        <v>13</v>
      </c>
      <c r="F272" s="5">
        <v>8</v>
      </c>
      <c r="G272" s="3">
        <f t="shared" ca="1" si="46"/>
        <v>45137</v>
      </c>
      <c r="H272" s="4">
        <f t="shared" ca="1" si="39"/>
        <v>361096</v>
      </c>
      <c r="I272" s="6" t="s">
        <v>31</v>
      </c>
    </row>
    <row r="273" spans="1:9">
      <c r="A273" s="2">
        <v>45563</v>
      </c>
      <c r="B273" t="str">
        <f t="shared" si="47"/>
        <v>ORD272</v>
      </c>
      <c r="C273" t="s">
        <v>6</v>
      </c>
      <c r="D273" t="s">
        <v>30</v>
      </c>
      <c r="E273" t="s">
        <v>12</v>
      </c>
      <c r="F273" s="5">
        <v>9</v>
      </c>
      <c r="G273" s="3">
        <f t="shared" ca="1" si="46"/>
        <v>21698</v>
      </c>
      <c r="H273" s="4">
        <f t="shared" ca="1" si="40"/>
        <v>195282</v>
      </c>
      <c r="I273" s="6" t="s">
        <v>33</v>
      </c>
    </row>
    <row r="274" spans="1:9">
      <c r="A274" s="2">
        <v>45564</v>
      </c>
      <c r="B274" t="str">
        <f t="shared" si="47"/>
        <v>ORD273</v>
      </c>
      <c r="C274" t="s">
        <v>3</v>
      </c>
      <c r="D274" t="s">
        <v>35</v>
      </c>
      <c r="E274" t="s">
        <v>14</v>
      </c>
      <c r="F274" s="5">
        <v>4</v>
      </c>
      <c r="G274" s="3">
        <f t="shared" ca="1" si="46"/>
        <v>4934</v>
      </c>
      <c r="H274" s="4">
        <f t="shared" ca="1" si="40"/>
        <v>19736</v>
      </c>
      <c r="I274" s="6" t="s">
        <v>36</v>
      </c>
    </row>
    <row r="275" spans="1:9">
      <c r="A275" s="2">
        <v>45565</v>
      </c>
      <c r="B275" t="str">
        <f t="shared" si="47"/>
        <v>ORD274</v>
      </c>
      <c r="C275" t="s">
        <v>7</v>
      </c>
      <c r="D275" t="s">
        <v>35</v>
      </c>
      <c r="E275" t="s">
        <v>11</v>
      </c>
      <c r="F275" s="5">
        <v>3</v>
      </c>
      <c r="G275" s="3">
        <f t="shared" ca="1" si="46"/>
        <v>4556</v>
      </c>
      <c r="H275" s="4">
        <f t="shared" ca="1" si="40"/>
        <v>13668</v>
      </c>
      <c r="I275" s="6" t="s">
        <v>31</v>
      </c>
    </row>
    <row r="276" spans="1:9">
      <c r="A276" s="2">
        <v>45566</v>
      </c>
      <c r="B276" t="str">
        <f t="shared" si="47"/>
        <v>ORD275</v>
      </c>
      <c r="C276" t="s">
        <v>4</v>
      </c>
      <c r="D276" t="s">
        <v>39</v>
      </c>
      <c r="E276" t="s">
        <v>13</v>
      </c>
      <c r="F276" s="5">
        <v>1</v>
      </c>
      <c r="G276" s="3">
        <f t="shared" ca="1" si="46"/>
        <v>1154</v>
      </c>
      <c r="H276" s="4">
        <f t="shared" ca="1" si="41"/>
        <v>1154</v>
      </c>
      <c r="I276" s="6" t="s">
        <v>33</v>
      </c>
    </row>
    <row r="277" spans="1:9">
      <c r="A277" s="2">
        <v>45567</v>
      </c>
      <c r="B277" t="str">
        <f t="shared" si="47"/>
        <v>ORD276</v>
      </c>
      <c r="C277" t="s">
        <v>5</v>
      </c>
      <c r="D277" t="s">
        <v>30</v>
      </c>
      <c r="E277" t="s">
        <v>12</v>
      </c>
      <c r="F277" s="5">
        <v>2</v>
      </c>
      <c r="G277" s="3">
        <f t="shared" ca="1" si="46"/>
        <v>50083</v>
      </c>
      <c r="H277" s="4">
        <f t="shared" ca="1" si="41"/>
        <v>100166</v>
      </c>
      <c r="I277" s="6" t="s">
        <v>31</v>
      </c>
    </row>
    <row r="278" spans="1:9">
      <c r="A278" s="2">
        <v>45568</v>
      </c>
      <c r="B278" s="6" t="str">
        <f t="shared" si="47"/>
        <v>ORD277</v>
      </c>
      <c r="C278" s="6" t="s">
        <v>6</v>
      </c>
      <c r="D278" s="6" t="s">
        <v>30</v>
      </c>
      <c r="E278" s="6" t="s">
        <v>13</v>
      </c>
      <c r="F278" s="5">
        <v>5</v>
      </c>
      <c r="G278" s="3">
        <f t="shared" ca="1" si="46"/>
        <v>25254</v>
      </c>
      <c r="H278" s="4">
        <f t="shared" ca="1" si="41"/>
        <v>126270</v>
      </c>
      <c r="I278" s="6" t="s">
        <v>33</v>
      </c>
    </row>
    <row r="279" spans="1:9">
      <c r="A279" s="2">
        <v>45569</v>
      </c>
      <c r="B279" s="6" t="str">
        <f t="shared" si="47"/>
        <v>ORD278</v>
      </c>
      <c r="C279" s="6" t="s">
        <v>3</v>
      </c>
      <c r="D279" s="6" t="s">
        <v>35</v>
      </c>
      <c r="E279" s="6" t="s">
        <v>11</v>
      </c>
      <c r="F279" s="5">
        <v>6</v>
      </c>
      <c r="G279" s="3">
        <f t="shared" ca="1" si="46"/>
        <v>6482</v>
      </c>
      <c r="H279" s="4">
        <f t="shared" ref="H279:H281" ca="1" si="49">F279*G279</f>
        <v>38892</v>
      </c>
      <c r="I279" s="6" t="s">
        <v>36</v>
      </c>
    </row>
    <row r="280" spans="1:9">
      <c r="A280" s="2">
        <v>45570</v>
      </c>
      <c r="B280" s="6" t="str">
        <f t="shared" si="47"/>
        <v>ORD279</v>
      </c>
      <c r="C280" s="6" t="s">
        <v>7</v>
      </c>
      <c r="D280" s="6" t="s">
        <v>35</v>
      </c>
      <c r="E280" s="6" t="s">
        <v>14</v>
      </c>
      <c r="F280" s="5">
        <v>7</v>
      </c>
      <c r="G280" s="3">
        <f t="shared" ca="1" si="46"/>
        <v>9854</v>
      </c>
      <c r="H280" s="4">
        <f t="shared" ca="1" si="49"/>
        <v>68978</v>
      </c>
      <c r="I280" s="6" t="s">
        <v>31</v>
      </c>
    </row>
    <row r="281" spans="1:9">
      <c r="A281" s="2">
        <v>45571</v>
      </c>
      <c r="B281" s="6" t="str">
        <f t="shared" si="47"/>
        <v>ORD280</v>
      </c>
      <c r="C281" s="6" t="s">
        <v>4</v>
      </c>
      <c r="D281" s="6" t="s">
        <v>39</v>
      </c>
      <c r="E281" s="6" t="s">
        <v>12</v>
      </c>
      <c r="F281" s="5">
        <v>8</v>
      </c>
      <c r="G281" s="3">
        <f t="shared" ca="1" si="46"/>
        <v>2664</v>
      </c>
      <c r="H281" s="4">
        <f t="shared" ca="1" si="49"/>
        <v>21312</v>
      </c>
      <c r="I281" s="6" t="s">
        <v>33</v>
      </c>
    </row>
    <row r="282" spans="1:9">
      <c r="A282" s="2">
        <v>45572</v>
      </c>
      <c r="B282" s="6" t="str">
        <f t="shared" si="47"/>
        <v>ORD281</v>
      </c>
      <c r="C282" s="6" t="s">
        <v>5</v>
      </c>
      <c r="D282" s="6" t="s">
        <v>30</v>
      </c>
      <c r="E282" s="6" t="s">
        <v>13</v>
      </c>
      <c r="F282" s="5">
        <v>1</v>
      </c>
      <c r="G282" s="3">
        <f t="shared" ca="1" si="46"/>
        <v>56707</v>
      </c>
      <c r="H282" s="4">
        <f t="shared" ref="H282:H294" ca="1" si="50">+F282*G282</f>
        <v>56707</v>
      </c>
      <c r="I282" s="6" t="s">
        <v>31</v>
      </c>
    </row>
    <row r="283" spans="1:9">
      <c r="A283" s="2">
        <v>45573</v>
      </c>
      <c r="B283" s="6" t="str">
        <f t="shared" si="47"/>
        <v>ORD282</v>
      </c>
      <c r="C283" s="6" t="s">
        <v>6</v>
      </c>
      <c r="D283" s="6" t="s">
        <v>30</v>
      </c>
      <c r="E283" s="6" t="s">
        <v>12</v>
      </c>
      <c r="F283" s="5">
        <v>2</v>
      </c>
      <c r="G283" s="3">
        <f t="shared" ca="1" si="46"/>
        <v>16591</v>
      </c>
      <c r="H283" s="4">
        <f t="shared" ca="1" si="50"/>
        <v>33182</v>
      </c>
      <c r="I283" s="6" t="s">
        <v>33</v>
      </c>
    </row>
    <row r="284" spans="1:9">
      <c r="A284" s="2">
        <v>45574</v>
      </c>
      <c r="B284" s="6" t="str">
        <f t="shared" si="47"/>
        <v>ORD283</v>
      </c>
      <c r="C284" s="6" t="s">
        <v>3</v>
      </c>
      <c r="D284" s="6" t="s">
        <v>35</v>
      </c>
      <c r="E284" s="6" t="s">
        <v>14</v>
      </c>
      <c r="F284" s="5">
        <v>3</v>
      </c>
      <c r="G284" s="3">
        <f t="shared" ca="1" si="46"/>
        <v>5766</v>
      </c>
      <c r="H284" s="4">
        <f t="shared" ref="H284:H297" ca="1" si="51">F284*G284</f>
        <v>17298</v>
      </c>
      <c r="I284" s="6" t="s">
        <v>36</v>
      </c>
    </row>
    <row r="285" spans="1:9">
      <c r="A285" s="2">
        <v>45575</v>
      </c>
      <c r="B285" s="6" t="str">
        <f t="shared" si="47"/>
        <v>ORD284</v>
      </c>
      <c r="C285" s="6" t="s">
        <v>7</v>
      </c>
      <c r="D285" s="6" t="s">
        <v>35</v>
      </c>
      <c r="E285" s="6" t="s">
        <v>11</v>
      </c>
      <c r="F285" s="5">
        <v>3</v>
      </c>
      <c r="G285" s="3">
        <f t="shared" ca="1" si="46"/>
        <v>4763</v>
      </c>
      <c r="H285" s="4">
        <f t="shared" ca="1" si="51"/>
        <v>14289</v>
      </c>
      <c r="I285" s="6" t="s">
        <v>31</v>
      </c>
    </row>
    <row r="286" spans="1:9">
      <c r="A286" s="2">
        <v>45576</v>
      </c>
      <c r="B286" s="6" t="str">
        <f t="shared" si="47"/>
        <v>ORD285</v>
      </c>
      <c r="C286" s="6" t="s">
        <v>4</v>
      </c>
      <c r="D286" s="6" t="s">
        <v>39</v>
      </c>
      <c r="E286" s="6" t="s">
        <v>13</v>
      </c>
      <c r="F286" s="5">
        <v>4</v>
      </c>
      <c r="G286" s="3">
        <f t="shared" ca="1" si="46"/>
        <v>2313</v>
      </c>
      <c r="H286" s="4">
        <f t="shared" ca="1" si="51"/>
        <v>9252</v>
      </c>
      <c r="I286" s="6" t="s">
        <v>33</v>
      </c>
    </row>
    <row r="287" spans="1:9">
      <c r="A287" s="2">
        <v>45577</v>
      </c>
      <c r="B287" s="6" t="str">
        <f t="shared" si="47"/>
        <v>ORD286</v>
      </c>
      <c r="C287" s="6" t="s">
        <v>5</v>
      </c>
      <c r="D287" s="6" t="s">
        <v>30</v>
      </c>
      <c r="E287" s="6" t="s">
        <v>12</v>
      </c>
      <c r="F287" s="5">
        <v>6</v>
      </c>
      <c r="G287" s="3">
        <f t="shared" ca="1" si="46"/>
        <v>51891</v>
      </c>
      <c r="H287" s="4">
        <f t="shared" ref="H287:H300" ca="1" si="52">+F287*G287</f>
        <v>311346</v>
      </c>
      <c r="I287" s="6" t="s">
        <v>31</v>
      </c>
    </row>
    <row r="288" spans="1:9">
      <c r="A288" s="2">
        <v>45578</v>
      </c>
      <c r="B288" s="6" t="str">
        <f t="shared" si="47"/>
        <v>ORD287</v>
      </c>
      <c r="C288" s="6" t="s">
        <v>6</v>
      </c>
      <c r="D288" s="6" t="s">
        <v>30</v>
      </c>
      <c r="E288" s="6" t="s">
        <v>13</v>
      </c>
      <c r="F288" s="5">
        <v>4</v>
      </c>
      <c r="G288" s="3">
        <f t="shared" ca="1" si="46"/>
        <v>15778</v>
      </c>
      <c r="H288" s="4">
        <f t="shared" ca="1" si="52"/>
        <v>63112</v>
      </c>
      <c r="I288" s="6" t="s">
        <v>33</v>
      </c>
    </row>
    <row r="289" spans="1:9">
      <c r="A289" s="2">
        <v>45579</v>
      </c>
      <c r="B289" s="6" t="str">
        <f t="shared" si="47"/>
        <v>ORD288</v>
      </c>
      <c r="C289" s="6" t="s">
        <v>3</v>
      </c>
      <c r="D289" s="6" t="s">
        <v>35</v>
      </c>
      <c r="E289" s="6" t="s">
        <v>11</v>
      </c>
      <c r="F289" s="5">
        <v>7</v>
      </c>
      <c r="G289" s="3">
        <f t="shared" ca="1" si="46"/>
        <v>6100</v>
      </c>
      <c r="H289" s="4">
        <f t="shared" ca="1" si="52"/>
        <v>42700</v>
      </c>
      <c r="I289" s="6" t="s">
        <v>36</v>
      </c>
    </row>
    <row r="290" spans="1:9">
      <c r="A290" s="2">
        <v>45580</v>
      </c>
      <c r="B290" s="6" t="str">
        <f t="shared" si="47"/>
        <v>ORD289</v>
      </c>
      <c r="C290" s="6" t="s">
        <v>7</v>
      </c>
      <c r="D290" s="6" t="s">
        <v>35</v>
      </c>
      <c r="E290" s="6" t="s">
        <v>14</v>
      </c>
      <c r="F290" s="5">
        <v>8</v>
      </c>
      <c r="G290" s="3">
        <f t="shared" ca="1" si="46"/>
        <v>7823</v>
      </c>
      <c r="H290" s="4">
        <f t="shared" ref="H290:H292" ca="1" si="53">F290*G290</f>
        <v>62584</v>
      </c>
      <c r="I290" s="6" t="s">
        <v>31</v>
      </c>
    </row>
    <row r="291" spans="1:9">
      <c r="A291" s="2">
        <v>45581</v>
      </c>
      <c r="B291" s="6" t="str">
        <f t="shared" si="47"/>
        <v>ORD290</v>
      </c>
      <c r="C291" s="6" t="s">
        <v>4</v>
      </c>
      <c r="D291" s="6" t="s">
        <v>39</v>
      </c>
      <c r="E291" s="6" t="s">
        <v>12</v>
      </c>
      <c r="F291" s="5">
        <v>7</v>
      </c>
      <c r="G291" s="3">
        <f t="shared" ca="1" si="46"/>
        <v>1122</v>
      </c>
      <c r="H291" s="4">
        <f t="shared" ca="1" si="53"/>
        <v>7854</v>
      </c>
      <c r="I291" s="6" t="s">
        <v>33</v>
      </c>
    </row>
    <row r="292" spans="1:9">
      <c r="A292" s="2">
        <v>45582</v>
      </c>
      <c r="B292" s="6" t="str">
        <f t="shared" si="47"/>
        <v>ORD291</v>
      </c>
      <c r="C292" s="6" t="s">
        <v>5</v>
      </c>
      <c r="D292" s="6" t="s">
        <v>30</v>
      </c>
      <c r="E292" s="6" t="s">
        <v>13</v>
      </c>
      <c r="F292" s="5">
        <v>1</v>
      </c>
      <c r="G292" s="3">
        <f t="shared" ca="1" si="46"/>
        <v>46353</v>
      </c>
      <c r="H292" s="4">
        <f t="shared" ca="1" si="53"/>
        <v>46353</v>
      </c>
      <c r="I292" s="6" t="s">
        <v>31</v>
      </c>
    </row>
    <row r="293" spans="1:9">
      <c r="A293" s="2">
        <v>45583</v>
      </c>
      <c r="B293" s="6" t="str">
        <f t="shared" si="47"/>
        <v>ORD292</v>
      </c>
      <c r="C293" s="6" t="s">
        <v>6</v>
      </c>
      <c r="D293" s="6" t="s">
        <v>30</v>
      </c>
      <c r="E293" s="6" t="s">
        <v>12</v>
      </c>
      <c r="F293" s="5">
        <v>1</v>
      </c>
      <c r="G293" s="3">
        <f t="shared" ca="1" si="46"/>
        <v>18722</v>
      </c>
      <c r="H293" s="4">
        <f t="shared" ca="1" si="50"/>
        <v>18722</v>
      </c>
      <c r="I293" s="6" t="s">
        <v>33</v>
      </c>
    </row>
    <row r="294" spans="1:9">
      <c r="A294" s="2">
        <v>45584</v>
      </c>
      <c r="B294" s="6" t="str">
        <f t="shared" si="47"/>
        <v>ORD293</v>
      </c>
      <c r="C294" s="6" t="s">
        <v>3</v>
      </c>
      <c r="D294" s="6" t="s">
        <v>35</v>
      </c>
      <c r="E294" s="6" t="s">
        <v>14</v>
      </c>
      <c r="F294" s="5">
        <v>2</v>
      </c>
      <c r="G294" s="3">
        <f t="shared" ca="1" si="46"/>
        <v>6660</v>
      </c>
      <c r="H294" s="4">
        <f t="shared" ca="1" si="50"/>
        <v>13320</v>
      </c>
      <c r="I294" s="6" t="s">
        <v>36</v>
      </c>
    </row>
    <row r="295" spans="1:9">
      <c r="A295" s="2">
        <v>45585</v>
      </c>
      <c r="B295" s="6" t="str">
        <f t="shared" si="47"/>
        <v>ORD294</v>
      </c>
      <c r="C295" s="6" t="s">
        <v>7</v>
      </c>
      <c r="D295" s="6" t="s">
        <v>35</v>
      </c>
      <c r="E295" s="6" t="s">
        <v>11</v>
      </c>
      <c r="F295" s="5">
        <v>2</v>
      </c>
      <c r="G295" s="3">
        <f t="shared" ca="1" si="46"/>
        <v>7246</v>
      </c>
      <c r="H295" s="4">
        <f t="shared" ca="1" si="51"/>
        <v>14492</v>
      </c>
      <c r="I295" s="6" t="s">
        <v>31</v>
      </c>
    </row>
    <row r="296" spans="1:9">
      <c r="A296" s="2">
        <v>45586</v>
      </c>
      <c r="B296" s="6" t="str">
        <f t="shared" si="47"/>
        <v>ORD295</v>
      </c>
      <c r="C296" s="6" t="s">
        <v>4</v>
      </c>
      <c r="D296" s="6" t="s">
        <v>39</v>
      </c>
      <c r="E296" s="6" t="s">
        <v>13</v>
      </c>
      <c r="F296" s="5">
        <v>2</v>
      </c>
      <c r="G296" s="3">
        <f t="shared" ca="1" si="46"/>
        <v>2346</v>
      </c>
      <c r="H296" s="4">
        <f t="shared" ca="1" si="51"/>
        <v>4692</v>
      </c>
      <c r="I296" s="6" t="s">
        <v>33</v>
      </c>
    </row>
    <row r="297" spans="1:9">
      <c r="A297" s="2">
        <v>45587</v>
      </c>
      <c r="B297" s="6" t="str">
        <f t="shared" si="47"/>
        <v>ORD296</v>
      </c>
      <c r="C297" s="6" t="s">
        <v>5</v>
      </c>
      <c r="D297" s="6" t="s">
        <v>30</v>
      </c>
      <c r="E297" s="6" t="s">
        <v>12</v>
      </c>
      <c r="F297" s="5">
        <v>3</v>
      </c>
      <c r="G297" s="3">
        <f t="shared" ca="1" si="46"/>
        <v>59512</v>
      </c>
      <c r="H297" s="4">
        <f t="shared" ca="1" si="51"/>
        <v>178536</v>
      </c>
      <c r="I297" s="6" t="s">
        <v>31</v>
      </c>
    </row>
    <row r="298" spans="1:9">
      <c r="A298" s="2">
        <v>45588</v>
      </c>
      <c r="B298" s="6" t="str">
        <f t="shared" si="47"/>
        <v>ORD297</v>
      </c>
      <c r="C298" s="6" t="s">
        <v>6</v>
      </c>
      <c r="D298" s="6" t="s">
        <v>30</v>
      </c>
      <c r="E298" s="6" t="s">
        <v>13</v>
      </c>
      <c r="F298" s="5">
        <v>3</v>
      </c>
      <c r="G298" s="3">
        <f t="shared" ca="1" si="46"/>
        <v>28475</v>
      </c>
      <c r="H298" s="4">
        <f t="shared" ca="1" si="52"/>
        <v>85425</v>
      </c>
      <c r="I298" s="6" t="s">
        <v>33</v>
      </c>
    </row>
    <row r="299" spans="1:9">
      <c r="A299" s="2">
        <v>45589</v>
      </c>
      <c r="B299" s="6" t="str">
        <f t="shared" si="47"/>
        <v>ORD298</v>
      </c>
      <c r="C299" s="6" t="s">
        <v>3</v>
      </c>
      <c r="D299" s="6" t="s">
        <v>35</v>
      </c>
      <c r="E299" s="6" t="s">
        <v>11</v>
      </c>
      <c r="F299" s="5">
        <v>3</v>
      </c>
      <c r="G299" s="3">
        <f t="shared" ca="1" si="46"/>
        <v>8371</v>
      </c>
      <c r="H299" s="4">
        <f t="shared" ca="1" si="52"/>
        <v>25113</v>
      </c>
      <c r="I299" s="6" t="s">
        <v>36</v>
      </c>
    </row>
    <row r="300" spans="1:9">
      <c r="A300" s="2">
        <v>45590</v>
      </c>
      <c r="B300" s="6" t="str">
        <f t="shared" si="47"/>
        <v>ORD299</v>
      </c>
      <c r="C300" s="6" t="s">
        <v>7</v>
      </c>
      <c r="D300" s="6" t="s">
        <v>35</v>
      </c>
      <c r="E300" s="6" t="s">
        <v>14</v>
      </c>
      <c r="F300" s="5">
        <v>1</v>
      </c>
      <c r="G300" s="3">
        <f t="shared" ca="1" si="46"/>
        <v>11397</v>
      </c>
      <c r="H300" s="4">
        <f t="shared" ca="1" si="52"/>
        <v>11397</v>
      </c>
      <c r="I300" s="6" t="s">
        <v>31</v>
      </c>
    </row>
    <row r="301" spans="1:9">
      <c r="A301" s="2">
        <v>45591</v>
      </c>
      <c r="B301" s="6" t="str">
        <f t="shared" si="47"/>
        <v>ORD300</v>
      </c>
      <c r="C301" s="6" t="s">
        <v>4</v>
      </c>
      <c r="D301" s="6" t="s">
        <v>39</v>
      </c>
      <c r="E301" s="6" t="s">
        <v>12</v>
      </c>
      <c r="F301" s="5">
        <v>1</v>
      </c>
      <c r="G301" s="3">
        <f t="shared" ca="1" si="46"/>
        <v>1461</v>
      </c>
      <c r="H301" s="4">
        <f t="shared" ref="H301" ca="1" si="54">F301*G301</f>
        <v>1461</v>
      </c>
      <c r="I301" s="6" t="s">
        <v>33</v>
      </c>
    </row>
    <row r="302" spans="1:9">
      <c r="A302" s="2"/>
    </row>
    <row r="303" spans="1:9">
      <c r="A303" s="2"/>
    </row>
    <row r="304" spans="1:9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2025-12-21T08:05:03Z</dcterms:created>
  <dcterms:modified xsi:type="dcterms:W3CDTF">2025-12-21T11:02:28Z</dcterms:modified>
  <cp:category/>
  <cp:contentStatus/>
</cp:coreProperties>
</file>